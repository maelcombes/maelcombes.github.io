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embeddings/oleObject1.bin" ContentType="application/vnd.openxmlformats-officedocument.oleObject"/>
  <Override PartName="/xl/activeX/activeX12.xml" ContentType="application/vnd.ms-office.activeX+xml"/>
  <Override PartName="/xl/activeX/activeX12.bin" ContentType="application/vnd.ms-office.activeX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tuunivpoitiersfr-my.sharepoint.com/personal/mael_combes_peirache_etuunivpoitiersfr_onmicrosoft_com/Documents/SAE/Nouveau dossier/"/>
    </mc:Choice>
  </mc:AlternateContent>
  <xr:revisionPtr revIDLastSave="678" documentId="8_{1E476A95-ADFA-4F86-9806-C2C1B64A760D}" xr6:coauthVersionLast="47" xr6:coauthVersionMax="47" xr10:uidLastSave="{694DD249-3D5E-42FA-8497-F51F6726CE51}"/>
  <bookViews>
    <workbookView xWindow="-120" yWindow="-120" windowWidth="29040" windowHeight="15720" xr2:uid="{6DE11360-8906-45D3-8524-BC5BB48E8773}"/>
  </bookViews>
  <sheets>
    <sheet name="Notes" sheetId="4" r:id="rId1"/>
    <sheet name="Utilisateur" sheetId="3" r:id="rId2"/>
    <sheet name="Tableau de bord" sheetId="2" r:id="rId3"/>
    <sheet name="Guide d'Utilisation" sheetId="5" r:id="rId4"/>
  </sheets>
  <definedNames>
    <definedName name="_xleta.IF" hidden="1" xlm="1">#NAME?</definedName>
    <definedName name="_xleta.N" hidden="1" xlm="1">#NAME?</definedName>
    <definedName name="_xleta.NOT" hidden="1" xlm="1">#NAME?</definedName>
    <definedName name="_xleta.PV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" i="4" l="1"/>
  <c r="J2" i="4"/>
  <c r="D31" i="2"/>
  <c r="J3" i="4"/>
  <c r="J4" i="4"/>
  <c r="J5" i="4"/>
  <c r="J6" i="4"/>
  <c r="J7" i="4"/>
  <c r="J8" i="4"/>
  <c r="J9" i="4"/>
  <c r="J10" i="4"/>
  <c r="J11" i="4"/>
  <c r="J12" i="4"/>
  <c r="J13" i="4"/>
  <c r="M4" i="4" s="1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N3" i="4" s="1"/>
  <c r="J35" i="4"/>
  <c r="J36" i="4"/>
  <c r="J37" i="4"/>
  <c r="J38" i="4"/>
  <c r="J39" i="4"/>
  <c r="N4" i="4" s="1"/>
  <c r="J40" i="4"/>
  <c r="J41" i="4"/>
  <c r="J42" i="4"/>
  <c r="J43" i="4"/>
  <c r="J44" i="4"/>
  <c r="J45" i="4"/>
  <c r="J46" i="4"/>
  <c r="N2" i="4" l="1"/>
  <c r="M2" i="4"/>
  <c r="O4" i="4"/>
  <c r="P4" i="4" s="1"/>
  <c r="Q4" i="4" s="1"/>
  <c r="O3" i="4"/>
  <c r="P3" i="4" s="1"/>
  <c r="Q3" i="4" s="1"/>
  <c r="O2" i="4" l="1"/>
  <c r="P2" i="4" s="1"/>
  <c r="Q2" i="4" s="1"/>
</calcChain>
</file>

<file path=xl/sharedStrings.xml><?xml version="1.0" encoding="utf-8"?>
<sst xmlns="http://schemas.openxmlformats.org/spreadsheetml/2006/main" count="157" uniqueCount="62">
  <si>
    <t>MATIERES</t>
  </si>
  <si>
    <t>COEF</t>
  </si>
  <si>
    <t>NOTE 2</t>
  </si>
  <si>
    <t>NOTE 3</t>
  </si>
  <si>
    <t>NOTE 4</t>
  </si>
  <si>
    <t>NOTE 5</t>
  </si>
  <si>
    <t xml:space="preserve">MOYENNE </t>
  </si>
  <si>
    <t>Moyenne année</t>
  </si>
  <si>
    <t>Semestre 1</t>
  </si>
  <si>
    <t>Compétence 1 : Traiter des données à des fins décisionnelles</t>
  </si>
  <si>
    <t>PPP1</t>
  </si>
  <si>
    <t>Compétence n°1</t>
  </si>
  <si>
    <t>Tableur et Reporting</t>
  </si>
  <si>
    <t>Compétence n°2</t>
  </si>
  <si>
    <t>Bases de données relationnelles 1</t>
  </si>
  <si>
    <t>Compétence n°3</t>
  </si>
  <si>
    <t>Bases de la programmation 1</t>
  </si>
  <si>
    <t>SAE - Reporting à partir de données stockées dans un SGBD relationnel</t>
  </si>
  <si>
    <t>SAE - Ecriture et lecture de fichiers de données</t>
  </si>
  <si>
    <t>Compétence 2 : Analyser statistiquement les données</t>
  </si>
  <si>
    <t>Statistique descriptive 1</t>
  </si>
  <si>
    <t>Probabilités 1</t>
  </si>
  <si>
    <t>Mathématiques - Analyse</t>
  </si>
  <si>
    <t>SAE - Préparation et synthèse d'un tableau de données en vue d'une analyse exploratoire simple</t>
  </si>
  <si>
    <t>Compétence 3 : Valoriser une production dans un contexte professionnel</t>
  </si>
  <si>
    <t>Initiation à l'anglais de spécialité</t>
  </si>
  <si>
    <t>Communication de l'information et recherche documentaire</t>
  </si>
  <si>
    <t>Découverte des données de l’environnement entrepreneurial et économique</t>
  </si>
  <si>
    <t>SAE - Apprendre en situation la production de données en entreprise</t>
  </si>
  <si>
    <t>SAE - Présentation en anglais d'un territoire économique et culturel</t>
  </si>
  <si>
    <t>SAE - Mise en œuvre d'une enquête</t>
  </si>
  <si>
    <t>Semestre 2</t>
  </si>
  <si>
    <t>PPP2</t>
  </si>
  <si>
    <t>Bases de données relationnelles 2</t>
  </si>
  <si>
    <t>Bases de la programmation 2</t>
  </si>
  <si>
    <t>Programmation statistique</t>
  </si>
  <si>
    <t>Reporting et datavisualisation</t>
  </si>
  <si>
    <t>SAE - Analyse de données, reporting et datavisualisation</t>
  </si>
  <si>
    <t>SAE - Conception et implémentation d'une base de données</t>
  </si>
  <si>
    <t>SAE - Datavisualisation</t>
  </si>
  <si>
    <t>SAE - Portfolio</t>
  </si>
  <si>
    <t>Statistique descriptive 2</t>
  </si>
  <si>
    <t>Statistique inférentielle</t>
  </si>
  <si>
    <t>Probabilités 2</t>
  </si>
  <si>
    <t>Bases de l’algèbre</t>
  </si>
  <si>
    <t>SAE - Estimation par échantillonnage</t>
  </si>
  <si>
    <t>SAE - Régression sur des données réelles</t>
  </si>
  <si>
    <t>Approfondissement de l'anglais de spécialité</t>
  </si>
  <si>
    <t xml:space="preserve">Communication et sémiologie </t>
  </si>
  <si>
    <t>Etude des données de l'environnement entrepreneurial et économique</t>
  </si>
  <si>
    <t>SAE - Construction et présentation d’indicateurs de performance</t>
  </si>
  <si>
    <t>GESTIONNAIRE DES NOTES</t>
  </si>
  <si>
    <t>TABLEAU DE BORD</t>
  </si>
  <si>
    <t>11.25</t>
  </si>
  <si>
    <t>ABI</t>
  </si>
  <si>
    <t>NOMBRES D'ABI :</t>
  </si>
  <si>
    <t>NOMBRES D'ABSENCES:</t>
  </si>
  <si>
    <t>GUIDE D'UTILISATION</t>
  </si>
  <si>
    <t xml:space="preserve"> SEMESTRE 1</t>
  </si>
  <si>
    <t>SEMESTRE 2</t>
  </si>
  <si>
    <t xml:space="preserve"> Confirmation passage</t>
  </si>
  <si>
    <t>Commentaire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</si>
</sst>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Calibri"/>
      <family val="2"/>
      <scheme val="minor"/>
    </font>
    <font>
      <i/>
      <sz val="12"/>
      <color rgb="FF000000"/>
      <name val="Arial"/>
      <family val="2"/>
    </font>
    <font>
      <i/>
      <sz val="12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60"/>
      <color rgb="FFC00000"/>
      <name val="Calibri"/>
      <family val="2"/>
      <scheme val="minor"/>
    </font>
    <font>
      <sz val="6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48"/>
      <color theme="1"/>
      <name val="Calibri"/>
      <family val="2"/>
      <scheme val="minor"/>
    </font>
    <font>
      <b/>
      <sz val="68"/>
      <color rgb="FFC0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</fills>
  <borders count="20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9">
    <xf numFmtId="0" fontId="0" fillId="0" borderId="0" xfId="0"/>
    <xf numFmtId="2" fontId="2" fillId="0" borderId="0" xfId="0" applyNumberFormat="1" applyFont="1" applyAlignment="1">
      <alignment horizontal="center" vertical="center"/>
    </xf>
    <xf numFmtId="2" fontId="5" fillId="0" borderId="6" xfId="0" applyNumberFormat="1" applyFont="1" applyBorder="1" applyAlignment="1">
      <alignment horizontal="center" vertical="center"/>
    </xf>
    <xf numFmtId="2" fontId="3" fillId="3" borderId="7" xfId="0" applyNumberFormat="1" applyFont="1" applyFill="1" applyBorder="1" applyAlignment="1">
      <alignment horizontal="center" vertical="center" wrapText="1"/>
    </xf>
    <xf numFmtId="2" fontId="4" fillId="0" borderId="6" xfId="0" applyNumberFormat="1" applyFont="1" applyBorder="1" applyAlignment="1">
      <alignment horizontal="center" vertical="center" wrapText="1"/>
    </xf>
    <xf numFmtId="2" fontId="2" fillId="0" borderId="9" xfId="0" applyNumberFormat="1" applyFont="1" applyBorder="1" applyAlignment="1">
      <alignment horizontal="center" vertical="center"/>
    </xf>
    <xf numFmtId="2" fontId="2" fillId="0" borderId="10" xfId="0" applyNumberFormat="1" applyFont="1" applyBorder="1" applyAlignment="1">
      <alignment horizontal="center" vertical="center"/>
    </xf>
    <xf numFmtId="2" fontId="3" fillId="4" borderId="4" xfId="0" applyNumberFormat="1" applyFont="1" applyFill="1" applyBorder="1" applyAlignment="1">
      <alignment horizontal="center" vertical="center" wrapText="1"/>
    </xf>
    <xf numFmtId="2" fontId="2" fillId="0" borderId="8" xfId="0" applyNumberFormat="1" applyFont="1" applyBorder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2" fontId="3" fillId="5" borderId="4" xfId="0" applyNumberFormat="1" applyFont="1" applyFill="1" applyBorder="1" applyAlignment="1">
      <alignment horizontal="center" vertical="center" wrapText="1"/>
    </xf>
    <xf numFmtId="2" fontId="3" fillId="3" borderId="2" xfId="0" applyNumberFormat="1" applyFont="1" applyFill="1" applyBorder="1" applyAlignment="1">
      <alignment horizontal="center" vertical="center" wrapText="1"/>
    </xf>
    <xf numFmtId="2" fontId="3" fillId="4" borderId="1" xfId="0" applyNumberFormat="1" applyFont="1" applyFill="1" applyBorder="1" applyAlignment="1">
      <alignment horizontal="center" vertical="center" wrapText="1"/>
    </xf>
    <xf numFmtId="2" fontId="3" fillId="5" borderId="1" xfId="0" applyNumberFormat="1" applyFont="1" applyFill="1" applyBorder="1" applyAlignment="1">
      <alignment horizontal="center" vertical="center" wrapText="1"/>
    </xf>
    <xf numFmtId="2" fontId="3" fillId="2" borderId="2" xfId="0" applyNumberFormat="1" applyFont="1" applyFill="1" applyBorder="1" applyAlignment="1">
      <alignment horizontal="center" vertical="center" wrapText="1"/>
    </xf>
    <xf numFmtId="2" fontId="3" fillId="3" borderId="6" xfId="0" applyNumberFormat="1" applyFont="1" applyFill="1" applyBorder="1" applyAlignment="1">
      <alignment horizontal="center" vertical="center" wrapText="1"/>
    </xf>
    <xf numFmtId="2" fontId="3" fillId="4" borderId="6" xfId="0" applyNumberFormat="1" applyFont="1" applyFill="1" applyBorder="1" applyAlignment="1">
      <alignment horizontal="center" vertical="center" wrapText="1"/>
    </xf>
    <xf numFmtId="2" fontId="3" fillId="5" borderId="6" xfId="0" applyNumberFormat="1" applyFont="1" applyFill="1" applyBorder="1" applyAlignment="1">
      <alignment horizontal="center" vertical="center" wrapText="1"/>
    </xf>
    <xf numFmtId="2" fontId="2" fillId="9" borderId="5" xfId="0" applyNumberFormat="1" applyFont="1" applyFill="1" applyBorder="1" applyAlignment="1">
      <alignment horizontal="center" vertical="center"/>
    </xf>
    <xf numFmtId="2" fontId="2" fillId="0" borderId="12" xfId="0" applyNumberFormat="1" applyFont="1" applyBorder="1" applyAlignment="1">
      <alignment horizontal="center" vertical="center"/>
    </xf>
    <xf numFmtId="2" fontId="5" fillId="0" borderId="3" xfId="0" applyNumberFormat="1" applyFon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1" fillId="7" borderId="3" xfId="0" applyNumberFormat="1" applyFont="1" applyFill="1" applyBorder="1" applyAlignment="1">
      <alignment horizontal="center" vertical="center" wrapText="1"/>
    </xf>
    <xf numFmtId="2" fontId="1" fillId="6" borderId="3" xfId="0" applyNumberFormat="1" applyFont="1" applyFill="1" applyBorder="1" applyAlignment="1">
      <alignment horizontal="center" vertical="center" wrapText="1"/>
    </xf>
    <xf numFmtId="2" fontId="1" fillId="7" borderId="11" xfId="0" applyNumberFormat="1" applyFont="1" applyFill="1" applyBorder="1" applyAlignment="1">
      <alignment horizontal="center" vertical="center" wrapText="1"/>
    </xf>
    <xf numFmtId="2" fontId="1" fillId="8" borderId="3" xfId="0" applyNumberFormat="1" applyFont="1" applyFill="1" applyBorder="1" applyAlignment="1">
      <alignment horizontal="center" vertical="center" wrapText="1"/>
    </xf>
    <xf numFmtId="2" fontId="3" fillId="5" borderId="2" xfId="0" applyNumberFormat="1" applyFont="1" applyFill="1" applyBorder="1" applyAlignment="1">
      <alignment horizontal="center" vertical="center" wrapText="1"/>
    </xf>
    <xf numFmtId="2" fontId="1" fillId="8" borderId="6" xfId="0" applyNumberFormat="1" applyFont="1" applyFill="1" applyBorder="1" applyAlignment="1">
      <alignment horizontal="center" vertical="center" wrapText="1"/>
    </xf>
    <xf numFmtId="0" fontId="0" fillId="10" borderId="0" xfId="0" applyFill="1"/>
    <xf numFmtId="0" fontId="0" fillId="11" borderId="0" xfId="0" applyFill="1"/>
    <xf numFmtId="0" fontId="8" fillId="11" borderId="0" xfId="0" applyFont="1" applyFill="1"/>
    <xf numFmtId="0" fontId="6" fillId="10" borderId="0" xfId="0" applyFont="1" applyFill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0" fontId="6" fillId="11" borderId="0" xfId="0" applyFont="1" applyFill="1" applyAlignment="1">
      <alignment horizontal="center" vertical="center"/>
    </xf>
    <xf numFmtId="0" fontId="7" fillId="11" borderId="0" xfId="0" applyFont="1" applyFill="1" applyAlignment="1">
      <alignment horizontal="center" vertical="center"/>
    </xf>
    <xf numFmtId="2" fontId="5" fillId="6" borderId="6" xfId="0" applyNumberFormat="1" applyFont="1" applyFill="1" applyBorder="1" applyAlignment="1">
      <alignment horizontal="center" vertical="center"/>
    </xf>
    <xf numFmtId="2" fontId="2" fillId="6" borderId="10" xfId="0" applyNumberFormat="1" applyFont="1" applyFill="1" applyBorder="1" applyAlignment="1">
      <alignment horizontal="center" vertical="center"/>
    </xf>
    <xf numFmtId="2" fontId="2" fillId="12" borderId="0" xfId="0" applyNumberFormat="1" applyFont="1" applyFill="1" applyBorder="1" applyAlignment="1">
      <alignment horizontal="center" vertical="center"/>
    </xf>
    <xf numFmtId="2" fontId="0" fillId="12" borderId="0" xfId="0" applyNumberFormat="1" applyFill="1" applyBorder="1" applyAlignment="1">
      <alignment horizontal="center" vertical="center"/>
    </xf>
    <xf numFmtId="0" fontId="2" fillId="11" borderId="0" xfId="0" applyFont="1" applyFill="1" applyAlignment="1">
      <alignment horizontal="center"/>
    </xf>
    <xf numFmtId="0" fontId="0" fillId="11" borderId="0" xfId="0" applyFill="1" applyAlignment="1">
      <alignment horizontal="center"/>
    </xf>
    <xf numFmtId="0" fontId="9" fillId="11" borderId="14" xfId="0" applyFont="1" applyFill="1" applyBorder="1" applyAlignment="1">
      <alignment horizontal="center"/>
    </xf>
    <xf numFmtId="0" fontId="9" fillId="11" borderId="15" xfId="0" applyFont="1" applyFill="1" applyBorder="1" applyAlignment="1">
      <alignment horizontal="center"/>
    </xf>
    <xf numFmtId="0" fontId="9" fillId="11" borderId="16" xfId="0" applyFont="1" applyFill="1" applyBorder="1" applyAlignment="1">
      <alignment horizontal="center"/>
    </xf>
    <xf numFmtId="0" fontId="9" fillId="11" borderId="17" xfId="0" applyFont="1" applyFill="1" applyBorder="1" applyAlignment="1">
      <alignment horizontal="center"/>
    </xf>
    <xf numFmtId="0" fontId="9" fillId="11" borderId="18" xfId="0" applyFont="1" applyFill="1" applyBorder="1" applyAlignment="1">
      <alignment horizontal="center"/>
    </xf>
    <xf numFmtId="0" fontId="9" fillId="11" borderId="1" xfId="0" applyFont="1" applyFill="1" applyBorder="1" applyAlignment="1">
      <alignment horizontal="center"/>
    </xf>
    <xf numFmtId="0" fontId="9" fillId="11" borderId="14" xfId="0" applyFont="1" applyFill="1" applyBorder="1" applyAlignment="1">
      <alignment horizontal="center" vertical="center"/>
    </xf>
    <xf numFmtId="0" fontId="9" fillId="11" borderId="15" xfId="0" applyFont="1" applyFill="1" applyBorder="1" applyAlignment="1">
      <alignment horizontal="center" vertical="center"/>
    </xf>
    <xf numFmtId="0" fontId="9" fillId="11" borderId="16" xfId="0" applyFont="1" applyFill="1" applyBorder="1" applyAlignment="1">
      <alignment horizontal="center" vertical="center"/>
    </xf>
    <xf numFmtId="0" fontId="9" fillId="11" borderId="17" xfId="0" applyFont="1" applyFill="1" applyBorder="1" applyAlignment="1">
      <alignment horizontal="center" vertical="center"/>
    </xf>
    <xf numFmtId="0" fontId="9" fillId="11" borderId="18" xfId="0" applyFont="1" applyFill="1" applyBorder="1" applyAlignment="1">
      <alignment horizontal="center" vertical="center"/>
    </xf>
    <xf numFmtId="0" fontId="9" fillId="11" borderId="1" xfId="0" applyFont="1" applyFill="1" applyBorder="1" applyAlignment="1">
      <alignment horizontal="center" vertical="center"/>
    </xf>
    <xf numFmtId="0" fontId="5" fillId="11" borderId="0" xfId="0" applyFont="1" applyFill="1" applyAlignment="1">
      <alignment horizontal="center"/>
    </xf>
    <xf numFmtId="0" fontId="10" fillId="11" borderId="0" xfId="0" applyFont="1" applyFill="1" applyAlignment="1">
      <alignment horizontal="center"/>
    </xf>
    <xf numFmtId="2" fontId="2" fillId="6" borderId="19" xfId="0" applyNumberFormat="1" applyFont="1" applyFill="1" applyBorder="1" applyAlignment="1">
      <alignment horizontal="center" vertical="center"/>
    </xf>
    <xf numFmtId="2" fontId="2" fillId="6" borderId="13" xfId="0" applyNumberFormat="1" applyFont="1" applyFill="1" applyBorder="1" applyAlignment="1">
      <alignment horizontal="center" vertical="center"/>
    </xf>
    <xf numFmtId="2" fontId="2" fillId="13" borderId="0" xfId="0" applyNumberFormat="1" applyFont="1" applyFill="1" applyAlignment="1">
      <alignment horizontal="center" vertical="center"/>
    </xf>
    <xf numFmtId="0" fontId="0" fillId="11" borderId="0" xfId="0" applyFill="1" applyAlignment="1"/>
  </cellXfs>
  <cellStyles count="1"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6699"/>
      <color rgb="FF99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Moyenne</a:t>
            </a:r>
            <a:r>
              <a:rPr lang="fr-FR" baseline="0"/>
              <a:t> des compétences selon le semestre</a:t>
            </a:r>
            <a:endParaRPr lang="fr-FR"/>
          </a:p>
        </c:rich>
      </c:tx>
      <c:layout>
        <c:manualLayout>
          <c:xMode val="edge"/>
          <c:yMode val="edge"/>
          <c:x val="0.11563085864266967"/>
          <c:y val="4.44444444444444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Notes!$M$1</c:f>
              <c:strCache>
                <c:ptCount val="1"/>
                <c:pt idx="0">
                  <c:v> SEMESTRE 1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Notes!$L$2:$L$4</c:f>
              <c:strCache>
                <c:ptCount val="3"/>
                <c:pt idx="0">
                  <c:v>Compétence n°1</c:v>
                </c:pt>
                <c:pt idx="1">
                  <c:v>Compétence n°2</c:v>
                </c:pt>
                <c:pt idx="2">
                  <c:v>Compétence n°3</c:v>
                </c:pt>
              </c:strCache>
            </c:strRef>
          </c:cat>
          <c:val>
            <c:numRef>
              <c:f>Notes!$M$2:$M$4</c:f>
              <c:numCache>
                <c:formatCode>0.00</c:formatCode>
                <c:ptCount val="3"/>
                <c:pt idx="0">
                  <c:v>6.8166666666666673</c:v>
                </c:pt>
                <c:pt idx="1">
                  <c:v>4.8083333333333336</c:v>
                </c:pt>
                <c:pt idx="2">
                  <c:v>15.3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74-48A8-81F6-52A3B0BC3219}"/>
            </c:ext>
          </c:extLst>
        </c:ser>
        <c:ser>
          <c:idx val="1"/>
          <c:order val="1"/>
          <c:tx>
            <c:strRef>
              <c:f>Notes!$N$1</c:f>
              <c:strCache>
                <c:ptCount val="1"/>
                <c:pt idx="0">
                  <c:v>SEMESTRE 2</c:v>
                </c:pt>
              </c:strCache>
            </c:strRef>
          </c:tx>
          <c:spPr>
            <a:solidFill>
              <a:schemeClr val="accent1">
                <a:lumMod val="5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Notes!$L$2:$L$4</c:f>
              <c:strCache>
                <c:ptCount val="3"/>
                <c:pt idx="0">
                  <c:v>Compétence n°1</c:v>
                </c:pt>
                <c:pt idx="1">
                  <c:v>Compétence n°2</c:v>
                </c:pt>
                <c:pt idx="2">
                  <c:v>Compétence n°3</c:v>
                </c:pt>
              </c:strCache>
            </c:strRef>
          </c:cat>
          <c:val>
            <c:numRef>
              <c:f>Notes!$N$2:$N$4</c:f>
              <c:numCache>
                <c:formatCode>0.00</c:formatCode>
                <c:ptCount val="3"/>
                <c:pt idx="0">
                  <c:v>12.958333333333336</c:v>
                </c:pt>
                <c:pt idx="1">
                  <c:v>0</c:v>
                </c:pt>
                <c:pt idx="2">
                  <c:v>13.95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74-48A8-81F6-52A3B0BC3219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978536751"/>
        <c:axId val="978523791"/>
      </c:barChart>
      <c:catAx>
        <c:axId val="97853675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78523791"/>
        <c:crosses val="autoZero"/>
        <c:auto val="1"/>
        <c:lblAlgn val="ctr"/>
        <c:lblOffset val="100"/>
        <c:noMultiLvlLbl val="0"/>
      </c:catAx>
      <c:valAx>
        <c:axId val="978523791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785367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Moyenne annuelle</a:t>
            </a:r>
            <a:r>
              <a:rPr lang="en-US" baseline="0"/>
              <a:t> par compétence</a:t>
            </a:r>
          </a:p>
        </c:rich>
      </c:tx>
      <c:layout>
        <c:manualLayout>
          <c:xMode val="edge"/>
          <c:yMode val="edge"/>
          <c:x val="0.16050770997375327"/>
          <c:y val="3.47448425624321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2.8645833333333332E-2"/>
          <c:y val="0.18230201680815958"/>
          <c:w val="0.94270833333333337"/>
          <c:h val="0.7169454632503184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Notes!$O$1</c:f>
              <c:strCache>
                <c:ptCount val="1"/>
                <c:pt idx="0">
                  <c:v>Moyenne année</c:v>
                </c:pt>
              </c:strCache>
            </c:strRef>
          </c:tx>
          <c:spPr>
            <a:solidFill>
              <a:srgbClr val="0070C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Notes!$L$2:$L$4</c:f>
              <c:strCache>
                <c:ptCount val="3"/>
                <c:pt idx="0">
                  <c:v>Compétence n°1</c:v>
                </c:pt>
                <c:pt idx="1">
                  <c:v>Compétence n°2</c:v>
                </c:pt>
                <c:pt idx="2">
                  <c:v>Compétence n°3</c:v>
                </c:pt>
              </c:strCache>
            </c:strRef>
          </c:cat>
          <c:val>
            <c:numRef>
              <c:f>Notes!$O$2:$O$4</c:f>
              <c:numCache>
                <c:formatCode>0.00</c:formatCode>
                <c:ptCount val="3"/>
                <c:pt idx="0">
                  <c:v>9.8875000000000011</c:v>
                </c:pt>
                <c:pt idx="1">
                  <c:v>2.4041666666666668</c:v>
                </c:pt>
                <c:pt idx="2">
                  <c:v>14.625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83-4466-8075-304C53CB0EEE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978530991"/>
        <c:axId val="978527151"/>
      </c:barChart>
      <c:catAx>
        <c:axId val="9785309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78527151"/>
        <c:crosses val="autoZero"/>
        <c:auto val="1"/>
        <c:lblAlgn val="ctr"/>
        <c:lblOffset val="100"/>
        <c:noMultiLvlLbl val="0"/>
      </c:catAx>
      <c:valAx>
        <c:axId val="978527151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785309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svg"/><Relationship Id="rId3" Type="http://schemas.openxmlformats.org/officeDocument/2006/relationships/image" Target="../media/image13.png"/><Relationship Id="rId7" Type="http://schemas.openxmlformats.org/officeDocument/2006/relationships/image" Target="../media/image17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Relationship Id="rId6" Type="http://schemas.openxmlformats.org/officeDocument/2006/relationships/image" Target="../media/image16.svg"/><Relationship Id="rId5" Type="http://schemas.openxmlformats.org/officeDocument/2006/relationships/image" Target="../media/image15.png"/><Relationship Id="rId4" Type="http://schemas.openxmlformats.org/officeDocument/2006/relationships/image" Target="../media/image14.png"/><Relationship Id="rId9" Type="http://schemas.openxmlformats.org/officeDocument/2006/relationships/image" Target="../media/image19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4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3.emf"/><Relationship Id="rId1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745751</xdr:colOff>
          <xdr:row>8</xdr:row>
          <xdr:rowOff>448235</xdr:rowOff>
        </xdr:from>
        <xdr:to>
          <xdr:col>13</xdr:col>
          <xdr:colOff>682998</xdr:colOff>
          <xdr:row>10</xdr:row>
          <xdr:rowOff>76760</xdr:rowOff>
        </xdr:to>
        <xdr:sp macro="" textlink="">
          <xdr:nvSpPr>
            <xdr:cNvPr id="6145" name="btnFicheacceuil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616325</xdr:colOff>
      <xdr:row>12</xdr:row>
      <xdr:rowOff>33618</xdr:rowOff>
    </xdr:from>
    <xdr:to>
      <xdr:col>18</xdr:col>
      <xdr:colOff>425825</xdr:colOff>
      <xdr:row>40</xdr:row>
      <xdr:rowOff>56029</xdr:rowOff>
    </xdr:to>
    <xdr:sp macro="" textlink="">
      <xdr:nvSpPr>
        <xdr:cNvPr id="6" name="Organigramme : Alternative 5">
          <a:extLst>
            <a:ext uri="{FF2B5EF4-FFF2-40B4-BE49-F238E27FC236}">
              <a16:creationId xmlns:a16="http://schemas.microsoft.com/office/drawing/2014/main" id="{D7682300-DEE9-46D9-86E5-CB95083FBB49}"/>
            </a:ext>
          </a:extLst>
        </xdr:cNvPr>
        <xdr:cNvSpPr/>
      </xdr:nvSpPr>
      <xdr:spPr>
        <a:xfrm>
          <a:off x="4426325" y="2319618"/>
          <a:ext cx="9715500" cy="5356411"/>
        </a:xfrm>
        <a:prstGeom prst="flowChartAlternateProcess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14</xdr:row>
          <xdr:rowOff>123825</xdr:rowOff>
        </xdr:from>
        <xdr:to>
          <xdr:col>14</xdr:col>
          <xdr:colOff>257175</xdr:colOff>
          <xdr:row>22</xdr:row>
          <xdr:rowOff>123825</xdr:rowOff>
        </xdr:to>
        <xdr:sp macro="" textlink="">
          <xdr:nvSpPr>
            <xdr:cNvPr id="4097" name="btnSaisieNotes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29</xdr:row>
          <xdr:rowOff>104775</xdr:rowOff>
        </xdr:from>
        <xdr:to>
          <xdr:col>17</xdr:col>
          <xdr:colOff>514350</xdr:colOff>
          <xdr:row>37</xdr:row>
          <xdr:rowOff>104775</xdr:rowOff>
        </xdr:to>
        <xdr:sp macro="" textlink="">
          <xdr:nvSpPr>
            <xdr:cNvPr id="4099" name="btneffacerlesnotes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504825</xdr:colOff>
          <xdr:row>29</xdr:row>
          <xdr:rowOff>66675</xdr:rowOff>
        </xdr:from>
        <xdr:to>
          <xdr:col>11</xdr:col>
          <xdr:colOff>0</xdr:colOff>
          <xdr:row>37</xdr:row>
          <xdr:rowOff>66675</xdr:rowOff>
        </xdr:to>
        <xdr:sp macro="" textlink="">
          <xdr:nvSpPr>
            <xdr:cNvPr id="4100" name="btneffacernote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470087</xdr:colOff>
          <xdr:row>17</xdr:row>
          <xdr:rowOff>66675</xdr:rowOff>
        </xdr:from>
        <xdr:to>
          <xdr:col>24</xdr:col>
          <xdr:colOff>470087</xdr:colOff>
          <xdr:row>23</xdr:row>
          <xdr:rowOff>66675</xdr:rowOff>
        </xdr:to>
        <xdr:sp macro="" textlink="">
          <xdr:nvSpPr>
            <xdr:cNvPr id="4101" name="btnDecisionJury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19</xdr:col>
      <xdr:colOff>638734</xdr:colOff>
      <xdr:row>2</xdr:row>
      <xdr:rowOff>9073</xdr:rowOff>
    </xdr:from>
    <xdr:to>
      <xdr:col>22</xdr:col>
      <xdr:colOff>701334</xdr:colOff>
      <xdr:row>5</xdr:row>
      <xdr:rowOff>168090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116734" y="390073"/>
          <a:ext cx="2348600" cy="730517"/>
        </a:xfrm>
        <a:prstGeom prst="rect">
          <a:avLst/>
        </a:prstGeom>
      </xdr:spPr>
    </xdr:pic>
    <xdr:clientData/>
  </xdr:twoCellAnchor>
  <xdr:twoCellAnchor editAs="oneCell">
    <xdr:from>
      <xdr:col>0</xdr:col>
      <xdr:colOff>750794</xdr:colOff>
      <xdr:row>1</xdr:row>
      <xdr:rowOff>56029</xdr:rowOff>
    </xdr:from>
    <xdr:to>
      <xdr:col>3</xdr:col>
      <xdr:colOff>363534</xdr:colOff>
      <xdr:row>6</xdr:row>
      <xdr:rowOff>29391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50794" y="246529"/>
          <a:ext cx="1898740" cy="925862"/>
        </a:xfrm>
        <a:prstGeom prst="rect">
          <a:avLst/>
        </a:prstGeom>
      </xdr:spPr>
    </xdr:pic>
    <xdr:clientData/>
  </xdr:twoCellAnchor>
  <xdr:twoCellAnchor editAs="oneCell">
    <xdr:from>
      <xdr:col>24</xdr:col>
      <xdr:colOff>728380</xdr:colOff>
      <xdr:row>0</xdr:row>
      <xdr:rowOff>156882</xdr:rowOff>
    </xdr:from>
    <xdr:to>
      <xdr:col>26</xdr:col>
      <xdr:colOff>481851</xdr:colOff>
      <xdr:row>7</xdr:row>
      <xdr:rowOff>100853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016380" y="156882"/>
          <a:ext cx="1277471" cy="127747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324970</xdr:colOff>
          <xdr:row>20</xdr:row>
          <xdr:rowOff>89087</xdr:rowOff>
        </xdr:from>
        <xdr:to>
          <xdr:col>3</xdr:col>
          <xdr:colOff>324970</xdr:colOff>
          <xdr:row>24</xdr:row>
          <xdr:rowOff>155762</xdr:rowOff>
        </xdr:to>
        <xdr:sp macro="" textlink="">
          <xdr:nvSpPr>
            <xdr:cNvPr id="4102" name="btnfichenotes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313765</xdr:colOff>
          <xdr:row>28</xdr:row>
          <xdr:rowOff>21852</xdr:rowOff>
        </xdr:from>
        <xdr:to>
          <xdr:col>3</xdr:col>
          <xdr:colOff>313765</xdr:colOff>
          <xdr:row>32</xdr:row>
          <xdr:rowOff>88527</xdr:rowOff>
        </xdr:to>
        <xdr:sp macro="" textlink="">
          <xdr:nvSpPr>
            <xdr:cNvPr id="4103" name="btnFichetbd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11206</xdr:colOff>
      <xdr:row>8</xdr:row>
      <xdr:rowOff>0</xdr:rowOff>
    </xdr:from>
    <xdr:to>
      <xdr:col>27</xdr:col>
      <xdr:colOff>481853</xdr:colOff>
      <xdr:row>9</xdr:row>
      <xdr:rowOff>179294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11206" y="1524000"/>
          <a:ext cx="21044647" cy="369794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0</xdr:col>
      <xdr:colOff>515469</xdr:colOff>
      <xdr:row>12</xdr:row>
      <xdr:rowOff>44822</xdr:rowOff>
    </xdr:from>
    <xdr:to>
      <xdr:col>1</xdr:col>
      <xdr:colOff>605118</xdr:colOff>
      <xdr:row>16</xdr:row>
      <xdr:rowOff>134471</xdr:rowOff>
    </xdr:to>
    <xdr:pic>
      <xdr:nvPicPr>
        <xdr:cNvPr id="20" name="Image 19" descr="accueil 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prstClr val="black"/>
            <a:schemeClr val="tx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5469" y="2330822"/>
          <a:ext cx="851649" cy="8516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324971</xdr:colOff>
          <xdr:row>36</xdr:row>
          <xdr:rowOff>66674</xdr:rowOff>
        </xdr:from>
        <xdr:to>
          <xdr:col>3</xdr:col>
          <xdr:colOff>324971</xdr:colOff>
          <xdr:row>40</xdr:row>
          <xdr:rowOff>133349</xdr:rowOff>
        </xdr:to>
        <xdr:sp macro="" textlink="">
          <xdr:nvSpPr>
            <xdr:cNvPr id="4105" name="btnFicheguide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414057</xdr:colOff>
          <xdr:row>29</xdr:row>
          <xdr:rowOff>33057</xdr:rowOff>
        </xdr:from>
        <xdr:to>
          <xdr:col>24</xdr:col>
          <xdr:colOff>414057</xdr:colOff>
          <xdr:row>35</xdr:row>
          <xdr:rowOff>33057</xdr:rowOff>
        </xdr:to>
        <xdr:sp macro="" textlink="">
          <xdr:nvSpPr>
            <xdr:cNvPr id="4106" name="btnNbabsence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392205</xdr:colOff>
      <xdr:row>30</xdr:row>
      <xdr:rowOff>156883</xdr:rowOff>
    </xdr:from>
    <xdr:to>
      <xdr:col>12</xdr:col>
      <xdr:colOff>634252</xdr:colOff>
      <xdr:row>36</xdr:row>
      <xdr:rowOff>17930</xdr:rowOff>
    </xdr:to>
    <xdr:pic>
      <xdr:nvPicPr>
        <xdr:cNvPr id="17" name="Graphique 16" descr="Panneau d’interdiction avec un remplissage uni">
          <a:extLst>
            <a:ext uri="{FF2B5EF4-FFF2-40B4-BE49-F238E27FC236}">
              <a16:creationId xmlns:a16="http://schemas.microsoft.com/office/drawing/2014/main" id="{87B01A94-0A7A-4910-AD20-4B05C7E0DB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74205" y="5871883"/>
          <a:ext cx="1004047" cy="1004047"/>
        </a:xfrm>
        <a:prstGeom prst="rect">
          <a:avLst/>
        </a:prstGeom>
      </xdr:spPr>
    </xdr:pic>
    <xdr:clientData/>
  </xdr:twoCellAnchor>
  <xdr:twoCellAnchor editAs="oneCell">
    <xdr:from>
      <xdr:col>25</xdr:col>
      <xdr:colOff>392206</xdr:colOff>
      <xdr:row>17</xdr:row>
      <xdr:rowOff>179294</xdr:rowOff>
    </xdr:from>
    <xdr:to>
      <xdr:col>26</xdr:col>
      <xdr:colOff>544606</xdr:colOff>
      <xdr:row>22</xdr:row>
      <xdr:rowOff>141194</xdr:rowOff>
    </xdr:to>
    <xdr:pic>
      <xdr:nvPicPr>
        <xdr:cNvPr id="19" name="Graphique 18" descr="Classe avec un remplissage uni">
          <a:extLst>
            <a:ext uri="{FF2B5EF4-FFF2-40B4-BE49-F238E27FC236}">
              <a16:creationId xmlns:a16="http://schemas.microsoft.com/office/drawing/2014/main" id="{8C313A77-B3C1-4120-83AB-0E5DF8B3AB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442206" y="3417794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7</xdr:col>
      <xdr:colOff>593914</xdr:colOff>
      <xdr:row>15</xdr:row>
      <xdr:rowOff>100853</xdr:rowOff>
    </xdr:from>
    <xdr:to>
      <xdr:col>9</xdr:col>
      <xdr:colOff>268942</xdr:colOff>
      <xdr:row>21</xdr:row>
      <xdr:rowOff>156881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430A2BA-B015-A56E-4DC4-8793085B8F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927914" y="2958353"/>
          <a:ext cx="1199028" cy="119902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193302</xdr:colOff>
          <xdr:row>35</xdr:row>
          <xdr:rowOff>105336</xdr:rowOff>
        </xdr:from>
        <xdr:to>
          <xdr:col>23</xdr:col>
          <xdr:colOff>736227</xdr:colOff>
          <xdr:row>37</xdr:row>
          <xdr:rowOff>86286</xdr:rowOff>
        </xdr:to>
        <xdr:sp macro="" textlink="">
          <xdr:nvSpPr>
            <xdr:cNvPr id="4107" name="btnrenitialiserabsence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0</xdr:rowOff>
    </xdr:from>
    <xdr:to>
      <xdr:col>23</xdr:col>
      <xdr:colOff>390525</xdr:colOff>
      <xdr:row>7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9525" y="1143000"/>
          <a:ext cx="17907000" cy="266700"/>
        </a:xfrm>
        <a:prstGeom prst="rect">
          <a:avLst/>
        </a:prstGeom>
        <a:solidFill>
          <a:schemeClr val="tx1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4</xdr:col>
      <xdr:colOff>638174</xdr:colOff>
      <xdr:row>0</xdr:row>
      <xdr:rowOff>161925</xdr:rowOff>
    </xdr:from>
    <xdr:to>
      <xdr:col>5</xdr:col>
      <xdr:colOff>742949</xdr:colOff>
      <xdr:row>5</xdr:row>
      <xdr:rowOff>76200</xdr:rowOff>
    </xdr:to>
    <xdr:pic>
      <xdr:nvPicPr>
        <xdr:cNvPr id="4" name="Image 3" descr="analyse exploratoire 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6174" y="161925"/>
          <a:ext cx="866775" cy="866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342899</xdr:colOff>
      <xdr:row>1</xdr:row>
      <xdr:rowOff>4018</xdr:rowOff>
    </xdr:from>
    <xdr:to>
      <xdr:col>19</xdr:col>
      <xdr:colOff>485774</xdr:colOff>
      <xdr:row>5</xdr:row>
      <xdr:rowOff>72179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058899" y="194518"/>
          <a:ext cx="904875" cy="8301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1</xdr:row>
          <xdr:rowOff>104775</xdr:rowOff>
        </xdr:from>
        <xdr:to>
          <xdr:col>2</xdr:col>
          <xdr:colOff>638175</xdr:colOff>
          <xdr:row>4</xdr:row>
          <xdr:rowOff>133350</xdr:rowOff>
        </xdr:to>
        <xdr:sp macro="" textlink="">
          <xdr:nvSpPr>
            <xdr:cNvPr id="5122" name="btnFicheaccueil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142875</xdr:colOff>
      <xdr:row>8</xdr:row>
      <xdr:rowOff>133350</xdr:rowOff>
    </xdr:from>
    <xdr:to>
      <xdr:col>9</xdr:col>
      <xdr:colOff>152400</xdr:colOff>
      <xdr:row>26</xdr:row>
      <xdr:rowOff>142875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2F3EE530-EBBB-407F-9FBA-1965D33B4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238124</xdr:colOff>
      <xdr:row>9</xdr:row>
      <xdr:rowOff>1</xdr:rowOff>
    </xdr:from>
    <xdr:to>
      <xdr:col>18</xdr:col>
      <xdr:colOff>571500</xdr:colOff>
      <xdr:row>26</xdr:row>
      <xdr:rowOff>1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4260BBCC-B1AD-4DC5-8AF7-3441D76836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428625</xdr:colOff>
          <xdr:row>3</xdr:row>
          <xdr:rowOff>123825</xdr:rowOff>
        </xdr:from>
        <xdr:to>
          <xdr:col>2</xdr:col>
          <xdr:colOff>523875</xdr:colOff>
          <xdr:row>7</xdr:row>
          <xdr:rowOff>133350</xdr:rowOff>
        </xdr:to>
        <xdr:sp macro="" textlink="">
          <xdr:nvSpPr>
            <xdr:cNvPr id="7169" name="btnFicheaccueil3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733426</xdr:colOff>
          <xdr:row>15</xdr:row>
          <xdr:rowOff>104774</xdr:rowOff>
        </xdr:from>
        <xdr:to>
          <xdr:col>14</xdr:col>
          <xdr:colOff>1857376</xdr:colOff>
          <xdr:row>29</xdr:row>
          <xdr:rowOff>31284</xdr:rowOff>
        </xdr:to>
        <xdr:sp macro="" textlink="">
          <xdr:nvSpPr>
            <xdr:cNvPr id="7173" name="Object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8721632B-08B7-39E7-F764-712036E28C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19050</xdr:colOff>
      <xdr:row>8</xdr:row>
      <xdr:rowOff>19050</xdr:rowOff>
    </xdr:from>
    <xdr:to>
      <xdr:col>22</xdr:col>
      <xdr:colOff>438150</xdr:colOff>
      <xdr:row>11</xdr:row>
      <xdr:rowOff>114300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DD78679E-6E4D-D645-CB83-FF97D430854F}"/>
            </a:ext>
          </a:extLst>
        </xdr:cNvPr>
        <xdr:cNvSpPr/>
      </xdr:nvSpPr>
      <xdr:spPr>
        <a:xfrm>
          <a:off x="19050" y="1543050"/>
          <a:ext cx="17945100" cy="66675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16</xdr:col>
      <xdr:colOff>304800</xdr:colOff>
      <xdr:row>1</xdr:row>
      <xdr:rowOff>85725</xdr:rowOff>
    </xdr:from>
    <xdr:to>
      <xdr:col>17</xdr:col>
      <xdr:colOff>704850</xdr:colOff>
      <xdr:row>7</xdr:row>
      <xdr:rowOff>104775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1593C1DD-9FF7-DB15-BCA1-A61723503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77925" y="276225"/>
          <a:ext cx="1162050" cy="116205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0.emf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17" Type="http://schemas.openxmlformats.org/officeDocument/2006/relationships/image" Target="../media/image8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10" Type="http://schemas.openxmlformats.org/officeDocument/2006/relationships/control" Target="../activeX/activeX5.xml"/><Relationship Id="rId19" Type="http://schemas.openxmlformats.org/officeDocument/2006/relationships/image" Target="../media/image9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0.emf"/><Relationship Id="rId4" Type="http://schemas.openxmlformats.org/officeDocument/2006/relationships/control" Target="../activeX/activeX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24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2.xml"/><Relationship Id="rId5" Type="http://schemas.openxmlformats.org/officeDocument/2006/relationships/image" Target="../media/image23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A4683-EE9D-4C7D-BC38-16887B65975A}">
  <sheetPr codeName="Feuil4"/>
  <dimension ref="A1:Q57"/>
  <sheetViews>
    <sheetView tabSelected="1" zoomScale="70" zoomScaleNormal="70" workbookViewId="0">
      <selection activeCell="Q5" sqref="Q5"/>
    </sheetView>
  </sheetViews>
  <sheetFormatPr baseColWidth="10" defaultColWidth="11.42578125" defaultRowHeight="15.75" x14ac:dyDescent="0.25"/>
  <cols>
    <col min="1" max="1" width="15.7109375" style="1" customWidth="1"/>
    <col min="2" max="2" width="60.7109375" style="1" customWidth="1"/>
    <col min="3" max="3" width="75.7109375" style="1" customWidth="1"/>
    <col min="4" max="4" width="11.42578125" style="1"/>
    <col min="5" max="5" width="11.85546875" style="1" bestFit="1" customWidth="1"/>
    <col min="6" max="8" width="11.5703125" style="1" customWidth="1"/>
    <col min="9" max="9" width="11.42578125" style="1"/>
    <col min="10" max="10" width="20" style="37" bestFit="1" customWidth="1"/>
    <col min="11" max="11" width="11.42578125" style="1"/>
    <col min="12" max="12" width="17" style="1" bestFit="1" customWidth="1"/>
    <col min="13" max="14" width="24.140625" style="1" bestFit="1" customWidth="1"/>
    <col min="15" max="15" width="27.42578125" style="1" customWidth="1"/>
    <col min="16" max="16" width="25" style="1" bestFit="1" customWidth="1"/>
    <col min="17" max="17" width="63.5703125" style="1" bestFit="1" customWidth="1"/>
    <col min="18" max="18" width="13" style="1" bestFit="1" customWidth="1"/>
    <col min="19" max="16384" width="11.42578125" style="1"/>
  </cols>
  <sheetData>
    <row r="1" spans="1:17" ht="24.95" customHeight="1" thickBot="1" x14ac:dyDescent="0.3">
      <c r="C1" s="2" t="s">
        <v>0</v>
      </c>
      <c r="D1" s="2" t="s">
        <v>1</v>
      </c>
      <c r="E1" s="2">
        <v>17</v>
      </c>
      <c r="F1" s="2" t="s">
        <v>2</v>
      </c>
      <c r="G1" s="2" t="s">
        <v>3</v>
      </c>
      <c r="H1" s="2" t="s">
        <v>4</v>
      </c>
      <c r="I1" s="2" t="s">
        <v>5</v>
      </c>
      <c r="J1" s="35" t="s">
        <v>6</v>
      </c>
      <c r="L1" s="18"/>
      <c r="M1" s="9" t="s">
        <v>58</v>
      </c>
      <c r="N1" s="9" t="s">
        <v>59</v>
      </c>
      <c r="O1" s="19" t="s">
        <v>7</v>
      </c>
      <c r="P1" s="55" t="s">
        <v>60</v>
      </c>
      <c r="Q1" s="57" t="s">
        <v>61</v>
      </c>
    </row>
    <row r="2" spans="1:17" ht="50.1" customHeight="1" thickBot="1" x14ac:dyDescent="0.3">
      <c r="A2" s="20" t="s">
        <v>8</v>
      </c>
      <c r="B2" s="22" t="s">
        <v>9</v>
      </c>
      <c r="C2" s="3" t="s">
        <v>10</v>
      </c>
      <c r="D2" s="4">
        <v>5</v>
      </c>
      <c r="E2" s="5">
        <v>2</v>
      </c>
      <c r="F2" s="6">
        <v>0</v>
      </c>
      <c r="G2" s="6">
        <v>0</v>
      </c>
      <c r="H2" s="6">
        <v>0</v>
      </c>
      <c r="I2" s="6"/>
      <c r="J2" s="36">
        <f>IF(COUNTIF(E2:I2,"ABI")&gt;0,"MOYENNE BLOQUEE",AVERAGE(E2:I2))</f>
        <v>0.5</v>
      </c>
      <c r="L2" s="9" t="s">
        <v>11</v>
      </c>
      <c r="M2" s="9">
        <f>IF(COUNTIF(J2:J7,"MOYENNE BLOQUEE")&gt;0,"COMPÉTENCE BLOQUÉE",IF('Tableau de bord'!A31&gt;=6,SUMPRODUCT(D2:D7,J2:J7)/SUM(D2:D7)-0.2,SUMPRODUCT(D2:D7,J2:J7)/SUM(D2:D7)))</f>
        <v>6.8166666666666673</v>
      </c>
      <c r="N2" s="9">
        <f>IF(COUNTIF(J20:J28,"MOYENNE BLOQUEE")&gt;0,"COMPÉTENCE BLOQUÉE",IF('Tableau de bord'!A31&gt;=6,SUMPRODUCT(D20:D28,J20:J28)/SUM(D20:D28)-0.2,SUMPRODUCT(D20:D28,J20:J28)/SUM(D20:D28)))</f>
        <v>12.958333333333336</v>
      </c>
      <c r="O2" s="19">
        <f>SUM(N2,M2)/2</f>
        <v>9.8875000000000011</v>
      </c>
      <c r="P2" s="56" t="str">
        <f>IF(O2&lt;8,"NON VALIDE",IF(O2&lt;=10,"VALIDE AVEC DETTE","VALIDE"))</f>
        <v>VALIDE AVEC DETTE</v>
      </c>
      <c r="Q2" s="57" t="str">
        <f>IF(P2="VALIDE","Compétence acquise avec un travail satisfaisant.",IF(P2="VALIDE AVEC DETTE","Compétence globalement acquise mais des lacunes persistent.",IF(P2="NON VALIDE","Manque de travail et de sérieux dans la compétence concernée.",)))</f>
        <v>Compétence globalement acquise mais des lacunes persistent.</v>
      </c>
    </row>
    <row r="3" spans="1:17" ht="50.1" customHeight="1" thickBot="1" x14ac:dyDescent="0.3">
      <c r="A3" s="20" t="s">
        <v>8</v>
      </c>
      <c r="B3" s="22" t="s">
        <v>9</v>
      </c>
      <c r="C3" s="7" t="s">
        <v>12</v>
      </c>
      <c r="D3" s="4">
        <v>15</v>
      </c>
      <c r="E3" s="8">
        <v>6</v>
      </c>
      <c r="F3" s="9">
        <v>14</v>
      </c>
      <c r="G3" s="9">
        <v>0</v>
      </c>
      <c r="H3" s="9"/>
      <c r="I3" s="9"/>
      <c r="J3" s="36">
        <f t="shared" ref="J3:J46" si="0">IF(COUNTIF(E3:I3,"ABI")&gt;0,"MOYENNE BLOQUEE",AVERAGE(E3:I3))</f>
        <v>6.666666666666667</v>
      </c>
      <c r="L3" s="9" t="s">
        <v>13</v>
      </c>
      <c r="M3" s="9">
        <f>IF(COUNTIF(J8:J12,"MOYENNE BLOQUEE")&gt;0,"COMPÉTENCE BLOQUÉE",IF('Tableau de bord'!A31&gt;=6,SUMPRODUCT(D8:D12,J8:J12)/SUM(D8:D12)-0.2,SUMPRODUCT(D8:D12,J8:J12)/SUM(D8:D12)))</f>
        <v>4.8083333333333336</v>
      </c>
      <c r="N3" s="9" t="str">
        <f>IF(COUNTIF(J29:J38,"MOYENNE BLOQUEE")&gt;0,"COMPÉTENCE BLOQUÉE",IF('Tableau de bord'!A31&gt;=6,SUMPRODUCT(D29:D38,J29:J38)/SUM(D38:D92)-0.2,SUMPRODUCT(D29:D38,J29:J38)/SUM(D29:D38)))</f>
        <v>COMPÉTENCE BLOQUÉE</v>
      </c>
      <c r="O3" s="19">
        <f>SUM(N3,M3)/2</f>
        <v>2.4041666666666668</v>
      </c>
      <c r="P3" s="56" t="str">
        <f t="shared" ref="P3:P4" si="1">IF(O3&lt;8,"NON VALIDE",IF(O3&lt;=10,"VALIDE AVEC DETTE","VALIDE"))</f>
        <v>NON VALIDE</v>
      </c>
      <c r="Q3" s="57" t="str">
        <f t="shared" ref="Q3:Q4" si="2">IF(P3="VALIDE","Compétence acquise avec un travail satisfaisant.",IF(P3="VALIDE AVEC DETTE","Compétence globalement acquise mais des lacunes persistent.",IF(P3="NON VALIDE","Manque de travail et de sérieux dans la compétence concernée.",)))</f>
        <v>Manque de travail et de sérieux dans la compétence concernée.</v>
      </c>
    </row>
    <row r="4" spans="1:17" ht="50.1" customHeight="1" thickBot="1" x14ac:dyDescent="0.3">
      <c r="A4" s="20" t="s">
        <v>8</v>
      </c>
      <c r="B4" s="22" t="s">
        <v>9</v>
      </c>
      <c r="C4" s="7" t="s">
        <v>14</v>
      </c>
      <c r="D4" s="4">
        <v>20</v>
      </c>
      <c r="E4" s="8">
        <v>10.5</v>
      </c>
      <c r="F4" s="9">
        <v>1</v>
      </c>
      <c r="G4" s="9">
        <v>0</v>
      </c>
      <c r="H4" s="9"/>
      <c r="I4" s="9"/>
      <c r="J4" s="36">
        <f t="shared" si="0"/>
        <v>3.8333333333333335</v>
      </c>
      <c r="L4" s="9" t="s">
        <v>15</v>
      </c>
      <c r="M4" s="9">
        <f>IF(COUNTIF(J13:J17,"MOYENNE BLOQUEE")&gt;0,"COMPÉTENCE BLOQUÉE",IF('Tableau de bord'!A31&gt;=6,SUMPRODUCT(D13:D17,J13:J17)/SUM(D13:D17)-0.2,SUMPRODUCT(D13:D17,J13:J17)/SUM(D13:D17)))</f>
        <v>15.3</v>
      </c>
      <c r="N4" s="9">
        <f>IF(COUNTIF(J39:J46,"MOYENNE BLOQUEE")&gt;0,"COMPÉTENCE BLOQUÉE",IF('Tableau de bord'!A31&gt;=6,SUMPRODUCT(D39:D46,J39:J46)/SUM(D39:D46)-0.2,SUMPRODUCT(D39:D46,J39:J46)/SUM(D39:D46)))</f>
        <v>13.95</v>
      </c>
      <c r="O4" s="19">
        <f>SUM(N4,M4)/2</f>
        <v>14.625</v>
      </c>
      <c r="P4" s="56" t="str">
        <f t="shared" si="1"/>
        <v>VALIDE</v>
      </c>
      <c r="Q4" s="57" t="str">
        <f t="shared" si="2"/>
        <v>Compétence acquise avec un travail satisfaisant.</v>
      </c>
    </row>
    <row r="5" spans="1:17" ht="50.1" customHeight="1" thickBot="1" x14ac:dyDescent="0.3">
      <c r="A5" s="20" t="s">
        <v>8</v>
      </c>
      <c r="B5" s="22" t="s">
        <v>9</v>
      </c>
      <c r="C5" s="7" t="s">
        <v>16</v>
      </c>
      <c r="D5" s="4">
        <v>20</v>
      </c>
      <c r="E5" s="8">
        <v>7.5</v>
      </c>
      <c r="F5" s="9">
        <v>7</v>
      </c>
      <c r="G5" s="9">
        <v>17</v>
      </c>
      <c r="H5" s="9">
        <v>1</v>
      </c>
      <c r="I5" s="9"/>
      <c r="J5" s="36">
        <f t="shared" si="0"/>
        <v>8.125</v>
      </c>
    </row>
    <row r="6" spans="1:17" ht="50.1" customHeight="1" thickBot="1" x14ac:dyDescent="0.3">
      <c r="A6" s="20" t="s">
        <v>8</v>
      </c>
      <c r="B6" s="22" t="s">
        <v>9</v>
      </c>
      <c r="C6" s="10" t="s">
        <v>17</v>
      </c>
      <c r="D6" s="4">
        <v>30</v>
      </c>
      <c r="E6" s="8">
        <v>10</v>
      </c>
      <c r="F6" s="9"/>
      <c r="G6" s="9"/>
      <c r="H6" s="9"/>
      <c r="I6" s="9"/>
      <c r="J6" s="36">
        <f t="shared" si="0"/>
        <v>10</v>
      </c>
    </row>
    <row r="7" spans="1:17" ht="50.1" customHeight="1" thickBot="1" x14ac:dyDescent="0.3">
      <c r="A7" s="20" t="s">
        <v>8</v>
      </c>
      <c r="B7" s="22" t="s">
        <v>9</v>
      </c>
      <c r="C7" s="10" t="s">
        <v>18</v>
      </c>
      <c r="D7" s="4">
        <v>10</v>
      </c>
      <c r="E7" s="8">
        <v>4</v>
      </c>
      <c r="F7" s="9"/>
      <c r="G7" s="9"/>
      <c r="H7" s="9"/>
      <c r="I7" s="9"/>
      <c r="J7" s="36">
        <f t="shared" si="0"/>
        <v>4</v>
      </c>
    </row>
    <row r="8" spans="1:17" ht="50.1" customHeight="1" thickBot="1" x14ac:dyDescent="0.3">
      <c r="A8" s="20" t="s">
        <v>8</v>
      </c>
      <c r="B8" s="23" t="s">
        <v>19</v>
      </c>
      <c r="C8" s="11" t="s">
        <v>10</v>
      </c>
      <c r="D8" s="4">
        <v>5</v>
      </c>
      <c r="E8" s="5">
        <v>15</v>
      </c>
      <c r="F8" s="6">
        <v>13</v>
      </c>
      <c r="G8" s="6"/>
      <c r="H8" s="6"/>
      <c r="I8" s="6"/>
      <c r="J8" s="36">
        <f t="shared" si="0"/>
        <v>14</v>
      </c>
    </row>
    <row r="9" spans="1:17" ht="50.1" customHeight="1" thickBot="1" x14ac:dyDescent="0.3">
      <c r="A9" s="20" t="s">
        <v>8</v>
      </c>
      <c r="B9" s="23" t="s">
        <v>19</v>
      </c>
      <c r="C9" s="12" t="s">
        <v>20</v>
      </c>
      <c r="D9" s="4">
        <v>20</v>
      </c>
      <c r="E9" s="8" t="s">
        <v>53</v>
      </c>
      <c r="F9" s="9">
        <v>9.75</v>
      </c>
      <c r="G9" s="9">
        <v>0</v>
      </c>
      <c r="H9" s="9"/>
      <c r="I9" s="9"/>
      <c r="J9" s="36">
        <f t="shared" si="0"/>
        <v>4.875</v>
      </c>
    </row>
    <row r="10" spans="1:17" ht="50.1" customHeight="1" thickBot="1" x14ac:dyDescent="0.3">
      <c r="A10" s="20" t="s">
        <v>8</v>
      </c>
      <c r="B10" s="23" t="s">
        <v>19</v>
      </c>
      <c r="C10" s="12" t="s">
        <v>21</v>
      </c>
      <c r="D10" s="4">
        <v>15</v>
      </c>
      <c r="E10" s="8">
        <v>15</v>
      </c>
      <c r="F10" s="9">
        <v>20</v>
      </c>
      <c r="G10" s="9">
        <v>7</v>
      </c>
      <c r="H10" s="9"/>
      <c r="I10" s="9"/>
      <c r="J10" s="36">
        <f t="shared" si="0"/>
        <v>14</v>
      </c>
    </row>
    <row r="11" spans="1:17" ht="50.1" customHeight="1" thickBot="1" x14ac:dyDescent="0.3">
      <c r="A11" s="20" t="s">
        <v>8</v>
      </c>
      <c r="B11" s="23" t="s">
        <v>19</v>
      </c>
      <c r="C11" s="12" t="s">
        <v>22</v>
      </c>
      <c r="D11" s="4">
        <v>20</v>
      </c>
      <c r="E11" s="5">
        <v>12</v>
      </c>
      <c r="F11" s="6">
        <v>3.5</v>
      </c>
      <c r="G11" s="6">
        <v>0</v>
      </c>
      <c r="H11" s="6"/>
      <c r="I11" s="6"/>
      <c r="J11" s="36">
        <f t="shared" si="0"/>
        <v>5.166666666666667</v>
      </c>
    </row>
    <row r="12" spans="1:17" ht="50.1" customHeight="1" thickBot="1" x14ac:dyDescent="0.3">
      <c r="A12" s="20" t="s">
        <v>8</v>
      </c>
      <c r="B12" s="23" t="s">
        <v>19</v>
      </c>
      <c r="C12" s="13" t="s">
        <v>23</v>
      </c>
      <c r="D12" s="4">
        <v>40</v>
      </c>
      <c r="E12" s="8">
        <v>0</v>
      </c>
      <c r="F12" s="9"/>
      <c r="G12" s="9"/>
      <c r="H12" s="9"/>
      <c r="I12" s="9"/>
      <c r="J12" s="36">
        <f t="shared" si="0"/>
        <v>0</v>
      </c>
    </row>
    <row r="13" spans="1:17" ht="50.1" customHeight="1" thickBot="1" x14ac:dyDescent="0.3">
      <c r="A13" s="20" t="s">
        <v>8</v>
      </c>
      <c r="B13" s="25" t="s">
        <v>24</v>
      </c>
      <c r="C13" s="14" t="s">
        <v>10</v>
      </c>
      <c r="D13" s="4">
        <v>5</v>
      </c>
      <c r="E13" s="5">
        <v>15</v>
      </c>
      <c r="F13" s="6">
        <v>13</v>
      </c>
      <c r="G13" s="6"/>
      <c r="H13" s="6"/>
      <c r="I13" s="6"/>
      <c r="J13" s="36">
        <f t="shared" si="0"/>
        <v>14</v>
      </c>
    </row>
    <row r="14" spans="1:17" ht="50.1" customHeight="1" thickBot="1" x14ac:dyDescent="0.3">
      <c r="A14" s="20" t="s">
        <v>8</v>
      </c>
      <c r="B14" s="25" t="s">
        <v>24</v>
      </c>
      <c r="C14" s="12" t="s">
        <v>25</v>
      </c>
      <c r="D14" s="4">
        <v>15</v>
      </c>
      <c r="E14" s="8">
        <v>9.5</v>
      </c>
      <c r="F14" s="9">
        <v>17.5</v>
      </c>
      <c r="G14" s="9">
        <v>18</v>
      </c>
      <c r="H14" s="9">
        <v>13.5</v>
      </c>
      <c r="I14" s="9">
        <v>14</v>
      </c>
      <c r="J14" s="36">
        <f t="shared" si="0"/>
        <v>14.5</v>
      </c>
    </row>
    <row r="15" spans="1:17" ht="50.1" customHeight="1" thickBot="1" x14ac:dyDescent="0.3">
      <c r="A15" s="20" t="s">
        <v>8</v>
      </c>
      <c r="B15" s="25" t="s">
        <v>24</v>
      </c>
      <c r="C15" s="12" t="s">
        <v>26</v>
      </c>
      <c r="D15" s="4">
        <v>15</v>
      </c>
      <c r="E15" s="8">
        <v>14</v>
      </c>
      <c r="F15" s="9"/>
      <c r="G15" s="9"/>
      <c r="H15" s="9"/>
      <c r="I15" s="9"/>
      <c r="J15" s="36">
        <f t="shared" si="0"/>
        <v>14</v>
      </c>
    </row>
    <row r="16" spans="1:17" ht="50.1" customHeight="1" thickBot="1" x14ac:dyDescent="0.3">
      <c r="A16" s="20" t="s">
        <v>8</v>
      </c>
      <c r="B16" s="25" t="s">
        <v>24</v>
      </c>
      <c r="C16" s="12" t="s">
        <v>27</v>
      </c>
      <c r="D16" s="4">
        <v>25</v>
      </c>
      <c r="E16" s="8">
        <v>17</v>
      </c>
      <c r="F16" s="9"/>
      <c r="G16" s="9"/>
      <c r="H16" s="9"/>
      <c r="I16" s="9"/>
      <c r="J16" s="36">
        <f t="shared" si="0"/>
        <v>17</v>
      </c>
    </row>
    <row r="17" spans="1:10" ht="50.1" customHeight="1" thickBot="1" x14ac:dyDescent="0.3">
      <c r="A17" s="20" t="s">
        <v>8</v>
      </c>
      <c r="B17" s="25" t="s">
        <v>24</v>
      </c>
      <c r="C17" s="13" t="s">
        <v>28</v>
      </c>
      <c r="D17" s="4">
        <v>15</v>
      </c>
      <c r="E17" s="8">
        <v>15</v>
      </c>
      <c r="F17" s="9"/>
      <c r="G17" s="9"/>
      <c r="H17" s="9"/>
      <c r="I17" s="9"/>
      <c r="J17" s="36">
        <f t="shared" si="0"/>
        <v>15</v>
      </c>
    </row>
    <row r="18" spans="1:10" ht="50.1" customHeight="1" thickBot="1" x14ac:dyDescent="0.3">
      <c r="A18" s="20" t="s">
        <v>8</v>
      </c>
      <c r="B18" s="25" t="s">
        <v>24</v>
      </c>
      <c r="C18" s="13" t="s">
        <v>29</v>
      </c>
      <c r="D18" s="4">
        <v>10</v>
      </c>
      <c r="E18" s="8">
        <v>19</v>
      </c>
      <c r="F18" s="9"/>
      <c r="G18" s="9"/>
      <c r="H18" s="9"/>
      <c r="I18" s="9"/>
      <c r="J18" s="36">
        <f t="shared" si="0"/>
        <v>19</v>
      </c>
    </row>
    <row r="19" spans="1:10" ht="50.1" customHeight="1" thickBot="1" x14ac:dyDescent="0.3">
      <c r="A19" s="20" t="s">
        <v>8</v>
      </c>
      <c r="B19" s="25" t="s">
        <v>24</v>
      </c>
      <c r="C19" s="13" t="s">
        <v>30</v>
      </c>
      <c r="D19" s="4">
        <v>15</v>
      </c>
      <c r="E19" s="8">
        <v>13</v>
      </c>
      <c r="F19" s="9"/>
      <c r="G19" s="9"/>
      <c r="H19" s="9"/>
      <c r="I19" s="9"/>
      <c r="J19" s="36">
        <f t="shared" si="0"/>
        <v>13</v>
      </c>
    </row>
    <row r="20" spans="1:10" ht="50.1" customHeight="1" thickBot="1" x14ac:dyDescent="0.3">
      <c r="A20" s="20" t="s">
        <v>31</v>
      </c>
      <c r="B20" s="24" t="s">
        <v>9</v>
      </c>
      <c r="C20" s="15" t="s">
        <v>32</v>
      </c>
      <c r="D20" s="4">
        <v>5</v>
      </c>
      <c r="E20" s="5">
        <v>12</v>
      </c>
      <c r="F20" s="6">
        <v>0</v>
      </c>
      <c r="G20" s="6"/>
      <c r="H20" s="6"/>
      <c r="I20" s="6"/>
      <c r="J20" s="36">
        <f t="shared" si="0"/>
        <v>6</v>
      </c>
    </row>
    <row r="21" spans="1:10" ht="50.1" customHeight="1" thickBot="1" x14ac:dyDescent="0.3">
      <c r="A21" s="20" t="s">
        <v>31</v>
      </c>
      <c r="B21" s="24" t="s">
        <v>9</v>
      </c>
      <c r="C21" s="16" t="s">
        <v>33</v>
      </c>
      <c r="D21" s="4">
        <v>15</v>
      </c>
      <c r="E21" s="8">
        <v>13</v>
      </c>
      <c r="F21" s="9">
        <v>14</v>
      </c>
      <c r="G21" s="9"/>
      <c r="H21" s="9"/>
      <c r="I21" s="9"/>
      <c r="J21" s="36">
        <f t="shared" si="0"/>
        <v>13.5</v>
      </c>
    </row>
    <row r="22" spans="1:10" ht="50.1" customHeight="1" thickBot="1" x14ac:dyDescent="0.3">
      <c r="A22" s="20" t="s">
        <v>31</v>
      </c>
      <c r="B22" s="24" t="s">
        <v>9</v>
      </c>
      <c r="C22" s="16" t="s">
        <v>34</v>
      </c>
      <c r="D22" s="4">
        <v>15</v>
      </c>
      <c r="E22" s="8">
        <v>5</v>
      </c>
      <c r="F22" s="9">
        <v>19</v>
      </c>
      <c r="G22" s="9"/>
      <c r="H22" s="9"/>
      <c r="I22" s="9"/>
      <c r="J22" s="36">
        <f t="shared" si="0"/>
        <v>12</v>
      </c>
    </row>
    <row r="23" spans="1:10" ht="50.1" customHeight="1" thickBot="1" x14ac:dyDescent="0.3">
      <c r="A23" s="20" t="s">
        <v>31</v>
      </c>
      <c r="B23" s="24" t="s">
        <v>9</v>
      </c>
      <c r="C23" s="16" t="s">
        <v>35</v>
      </c>
      <c r="D23" s="4">
        <v>15</v>
      </c>
      <c r="E23" s="8">
        <v>14</v>
      </c>
      <c r="F23" s="9"/>
      <c r="G23" s="9"/>
      <c r="H23" s="9"/>
      <c r="I23" s="9"/>
      <c r="J23" s="36">
        <f t="shared" si="0"/>
        <v>14</v>
      </c>
    </row>
    <row r="24" spans="1:10" ht="50.1" customHeight="1" thickBot="1" x14ac:dyDescent="0.3">
      <c r="A24" s="20" t="s">
        <v>31</v>
      </c>
      <c r="B24" s="24" t="s">
        <v>9</v>
      </c>
      <c r="C24" s="16" t="s">
        <v>36</v>
      </c>
      <c r="D24" s="4">
        <v>10</v>
      </c>
      <c r="E24" s="8">
        <v>0</v>
      </c>
      <c r="F24" s="9">
        <v>20</v>
      </c>
      <c r="G24" s="9">
        <v>14</v>
      </c>
      <c r="H24" s="9"/>
      <c r="I24" s="9"/>
      <c r="J24" s="36">
        <f t="shared" si="0"/>
        <v>11.333333333333334</v>
      </c>
    </row>
    <row r="25" spans="1:10" ht="50.1" customHeight="1" thickBot="1" x14ac:dyDescent="0.3">
      <c r="A25" s="20" t="s">
        <v>31</v>
      </c>
      <c r="B25" s="24" t="s">
        <v>9</v>
      </c>
      <c r="C25" s="17" t="s">
        <v>37</v>
      </c>
      <c r="D25" s="4">
        <v>20</v>
      </c>
      <c r="E25" s="8">
        <v>17</v>
      </c>
      <c r="F25" s="9"/>
      <c r="G25" s="9"/>
      <c r="H25" s="9"/>
      <c r="I25" s="9"/>
      <c r="J25" s="36">
        <f t="shared" si="0"/>
        <v>17</v>
      </c>
    </row>
    <row r="26" spans="1:10" ht="50.1" customHeight="1" thickBot="1" x14ac:dyDescent="0.3">
      <c r="A26" s="20" t="s">
        <v>31</v>
      </c>
      <c r="B26" s="24" t="s">
        <v>9</v>
      </c>
      <c r="C26" s="17" t="s">
        <v>38</v>
      </c>
      <c r="D26" s="4">
        <v>10</v>
      </c>
      <c r="E26" s="8">
        <v>10</v>
      </c>
      <c r="F26" s="9"/>
      <c r="G26" s="9"/>
      <c r="H26" s="9"/>
      <c r="I26" s="9"/>
      <c r="J26" s="36">
        <f t="shared" si="0"/>
        <v>10</v>
      </c>
    </row>
    <row r="27" spans="1:10" ht="50.1" customHeight="1" thickBot="1" x14ac:dyDescent="0.3">
      <c r="A27" s="20" t="s">
        <v>31</v>
      </c>
      <c r="B27" s="24" t="s">
        <v>9</v>
      </c>
      <c r="C27" s="17" t="s">
        <v>39</v>
      </c>
      <c r="D27" s="4">
        <v>5</v>
      </c>
      <c r="E27" s="8">
        <v>12</v>
      </c>
      <c r="F27" s="9"/>
      <c r="G27" s="9"/>
      <c r="H27" s="9"/>
      <c r="I27" s="9"/>
      <c r="J27" s="36">
        <f t="shared" si="0"/>
        <v>12</v>
      </c>
    </row>
    <row r="28" spans="1:10" ht="50.1" customHeight="1" thickBot="1" x14ac:dyDescent="0.3">
      <c r="A28" s="20" t="s">
        <v>31</v>
      </c>
      <c r="B28" s="24" t="s">
        <v>9</v>
      </c>
      <c r="C28" s="17" t="s">
        <v>40</v>
      </c>
      <c r="D28" s="4">
        <v>5</v>
      </c>
      <c r="E28" s="8">
        <v>12</v>
      </c>
      <c r="F28" s="9"/>
      <c r="G28" s="9"/>
      <c r="H28" s="9"/>
      <c r="I28" s="9"/>
      <c r="J28" s="36">
        <f t="shared" si="0"/>
        <v>12</v>
      </c>
    </row>
    <row r="29" spans="1:10" ht="50.1" customHeight="1" thickBot="1" x14ac:dyDescent="0.3">
      <c r="A29" s="20" t="s">
        <v>31</v>
      </c>
      <c r="B29" s="23" t="s">
        <v>19</v>
      </c>
      <c r="C29" s="11" t="s">
        <v>32</v>
      </c>
      <c r="D29" s="4">
        <v>5</v>
      </c>
      <c r="E29" s="5">
        <v>12</v>
      </c>
      <c r="F29" s="6">
        <v>0</v>
      </c>
      <c r="G29" s="6"/>
      <c r="H29" s="6"/>
      <c r="I29" s="6"/>
      <c r="J29" s="36">
        <f t="shared" si="0"/>
        <v>6</v>
      </c>
    </row>
    <row r="30" spans="1:10" ht="50.1" customHeight="1" thickBot="1" x14ac:dyDescent="0.3">
      <c r="A30" s="20" t="s">
        <v>31</v>
      </c>
      <c r="B30" s="23" t="s">
        <v>19</v>
      </c>
      <c r="C30" s="12" t="s">
        <v>41</v>
      </c>
      <c r="D30" s="4">
        <v>10</v>
      </c>
      <c r="E30" s="8">
        <v>14</v>
      </c>
      <c r="F30" s="9">
        <v>17</v>
      </c>
      <c r="G30" s="9"/>
      <c r="H30" s="9"/>
      <c r="I30" s="9"/>
      <c r="J30" s="36">
        <f t="shared" si="0"/>
        <v>15.5</v>
      </c>
    </row>
    <row r="31" spans="1:10" ht="50.1" customHeight="1" thickBot="1" x14ac:dyDescent="0.3">
      <c r="A31" s="20" t="s">
        <v>31</v>
      </c>
      <c r="B31" s="23" t="s">
        <v>19</v>
      </c>
      <c r="C31" s="12" t="s">
        <v>42</v>
      </c>
      <c r="D31" s="4">
        <v>15</v>
      </c>
      <c r="E31" s="8">
        <v>15</v>
      </c>
      <c r="F31" s="9">
        <v>19</v>
      </c>
      <c r="G31" s="9"/>
      <c r="H31" s="9"/>
      <c r="I31" s="9"/>
      <c r="J31" s="36">
        <f t="shared" si="0"/>
        <v>17</v>
      </c>
    </row>
    <row r="32" spans="1:10" ht="50.1" customHeight="1" thickBot="1" x14ac:dyDescent="0.3">
      <c r="A32" s="20" t="s">
        <v>31</v>
      </c>
      <c r="B32" s="23" t="s">
        <v>19</v>
      </c>
      <c r="C32" s="12" t="s">
        <v>43</v>
      </c>
      <c r="D32" s="4">
        <v>15</v>
      </c>
      <c r="E32" s="8">
        <v>18</v>
      </c>
      <c r="F32" s="9">
        <v>10</v>
      </c>
      <c r="G32" s="9"/>
      <c r="H32" s="9"/>
      <c r="I32" s="9"/>
      <c r="J32" s="36">
        <f t="shared" si="0"/>
        <v>14</v>
      </c>
    </row>
    <row r="33" spans="1:10" ht="50.1" customHeight="1" thickBot="1" x14ac:dyDescent="0.3">
      <c r="A33" s="20" t="s">
        <v>31</v>
      </c>
      <c r="B33" s="23" t="s">
        <v>19</v>
      </c>
      <c r="C33" s="12" t="s">
        <v>44</v>
      </c>
      <c r="D33" s="4">
        <v>15</v>
      </c>
      <c r="E33" s="8">
        <v>17</v>
      </c>
      <c r="F33" s="9">
        <v>9</v>
      </c>
      <c r="G33" s="9"/>
      <c r="H33" s="9"/>
      <c r="I33" s="9"/>
      <c r="J33" s="36">
        <f t="shared" si="0"/>
        <v>13</v>
      </c>
    </row>
    <row r="34" spans="1:10" ht="50.1" customHeight="1" thickBot="1" x14ac:dyDescent="0.3">
      <c r="A34" s="20" t="s">
        <v>31</v>
      </c>
      <c r="B34" s="23" t="s">
        <v>19</v>
      </c>
      <c r="C34" s="13" t="s">
        <v>37</v>
      </c>
      <c r="D34" s="4">
        <v>10</v>
      </c>
      <c r="E34" s="8" t="s">
        <v>54</v>
      </c>
      <c r="F34" s="9"/>
      <c r="G34" s="9"/>
      <c r="H34" s="9"/>
      <c r="I34" s="9"/>
      <c r="J34" s="36" t="str">
        <f t="shared" si="0"/>
        <v>MOYENNE BLOQUEE</v>
      </c>
    </row>
    <row r="35" spans="1:10" ht="50.1" customHeight="1" thickBot="1" x14ac:dyDescent="0.3">
      <c r="A35" s="20" t="s">
        <v>31</v>
      </c>
      <c r="B35" s="23" t="s">
        <v>19</v>
      </c>
      <c r="C35" s="13" t="s">
        <v>45</v>
      </c>
      <c r="D35" s="4">
        <v>10</v>
      </c>
      <c r="E35" s="8">
        <v>11</v>
      </c>
      <c r="F35" s="9"/>
      <c r="G35" s="9"/>
      <c r="H35" s="9"/>
      <c r="I35" s="9"/>
      <c r="J35" s="36">
        <f t="shared" si="0"/>
        <v>11</v>
      </c>
    </row>
    <row r="36" spans="1:10" ht="50.1" customHeight="1" thickBot="1" x14ac:dyDescent="0.3">
      <c r="A36" s="20" t="s">
        <v>31</v>
      </c>
      <c r="B36" s="23" t="s">
        <v>19</v>
      </c>
      <c r="C36" s="13" t="s">
        <v>46</v>
      </c>
      <c r="D36" s="4">
        <v>10</v>
      </c>
      <c r="E36" s="8">
        <v>10</v>
      </c>
      <c r="F36" s="9"/>
      <c r="G36" s="9"/>
      <c r="H36" s="9"/>
      <c r="I36" s="9"/>
      <c r="J36" s="36">
        <f t="shared" si="0"/>
        <v>10</v>
      </c>
    </row>
    <row r="37" spans="1:10" ht="50.1" customHeight="1" thickBot="1" x14ac:dyDescent="0.3">
      <c r="A37" s="20" t="s">
        <v>31</v>
      </c>
      <c r="B37" s="23" t="s">
        <v>19</v>
      </c>
      <c r="C37" s="13" t="s">
        <v>39</v>
      </c>
      <c r="D37" s="4">
        <v>5</v>
      </c>
      <c r="E37" s="8">
        <v>9</v>
      </c>
      <c r="F37" s="9"/>
      <c r="G37" s="9"/>
      <c r="H37" s="9"/>
      <c r="I37" s="9"/>
      <c r="J37" s="36">
        <f t="shared" si="0"/>
        <v>9</v>
      </c>
    </row>
    <row r="38" spans="1:10" ht="50.1" customHeight="1" thickBot="1" x14ac:dyDescent="0.3">
      <c r="A38" s="20" t="s">
        <v>31</v>
      </c>
      <c r="B38" s="23" t="s">
        <v>19</v>
      </c>
      <c r="C38" s="13" t="s">
        <v>40</v>
      </c>
      <c r="D38" s="4">
        <v>5</v>
      </c>
      <c r="E38" s="8">
        <v>17</v>
      </c>
      <c r="F38" s="9"/>
      <c r="G38" s="9"/>
      <c r="H38" s="9"/>
      <c r="I38" s="9"/>
      <c r="J38" s="36">
        <f t="shared" si="0"/>
        <v>17</v>
      </c>
    </row>
    <row r="39" spans="1:10" ht="50.1" customHeight="1" thickBot="1" x14ac:dyDescent="0.3">
      <c r="A39" s="20" t="s">
        <v>31</v>
      </c>
      <c r="B39" s="25" t="s">
        <v>24</v>
      </c>
      <c r="C39" s="11" t="s">
        <v>32</v>
      </c>
      <c r="D39" s="4">
        <v>5</v>
      </c>
      <c r="E39" s="5">
        <v>12</v>
      </c>
      <c r="F39" s="6">
        <v>0</v>
      </c>
      <c r="G39" s="6"/>
      <c r="H39" s="6"/>
      <c r="I39" s="6"/>
      <c r="J39" s="36">
        <f t="shared" si="0"/>
        <v>6</v>
      </c>
    </row>
    <row r="40" spans="1:10" ht="50.1" customHeight="1" thickBot="1" x14ac:dyDescent="0.3">
      <c r="A40" s="20" t="s">
        <v>31</v>
      </c>
      <c r="B40" s="25" t="s">
        <v>24</v>
      </c>
      <c r="C40" s="12" t="s">
        <v>47</v>
      </c>
      <c r="D40" s="4">
        <v>15</v>
      </c>
      <c r="E40" s="8">
        <v>16</v>
      </c>
      <c r="F40" s="9">
        <v>6</v>
      </c>
      <c r="G40" s="9">
        <v>7</v>
      </c>
      <c r="H40" s="9"/>
      <c r="I40" s="9"/>
      <c r="J40" s="36">
        <f t="shared" si="0"/>
        <v>9.6666666666666661</v>
      </c>
    </row>
    <row r="41" spans="1:10" ht="50.1" customHeight="1" thickBot="1" x14ac:dyDescent="0.3">
      <c r="A41" s="20" t="s">
        <v>31</v>
      </c>
      <c r="B41" s="25" t="s">
        <v>24</v>
      </c>
      <c r="C41" s="12" t="s">
        <v>48</v>
      </c>
      <c r="D41" s="4">
        <v>15</v>
      </c>
      <c r="E41" s="8">
        <v>17</v>
      </c>
      <c r="F41" s="9">
        <v>14</v>
      </c>
      <c r="G41" s="9"/>
      <c r="H41" s="9"/>
      <c r="I41" s="9"/>
      <c r="J41" s="36">
        <f t="shared" si="0"/>
        <v>15.5</v>
      </c>
    </row>
    <row r="42" spans="1:10" ht="50.1" customHeight="1" thickBot="1" x14ac:dyDescent="0.3">
      <c r="A42" s="20" t="s">
        <v>31</v>
      </c>
      <c r="B42" s="25" t="s">
        <v>24</v>
      </c>
      <c r="C42" s="12" t="s">
        <v>49</v>
      </c>
      <c r="D42" s="4">
        <v>25</v>
      </c>
      <c r="E42" s="8">
        <v>13</v>
      </c>
      <c r="F42" s="9">
        <v>10</v>
      </c>
      <c r="G42" s="9"/>
      <c r="H42" s="9"/>
      <c r="I42" s="9"/>
      <c r="J42" s="36">
        <f t="shared" si="0"/>
        <v>11.5</v>
      </c>
    </row>
    <row r="43" spans="1:10" ht="50.1" customHeight="1" thickBot="1" x14ac:dyDescent="0.3">
      <c r="A43" s="20" t="s">
        <v>31</v>
      </c>
      <c r="B43" s="25" t="s">
        <v>24</v>
      </c>
      <c r="C43" s="26" t="s">
        <v>37</v>
      </c>
      <c r="D43" s="4">
        <v>20</v>
      </c>
      <c r="E43" s="8">
        <v>17</v>
      </c>
      <c r="F43" s="9"/>
      <c r="G43" s="9"/>
      <c r="H43" s="9"/>
      <c r="I43" s="9"/>
      <c r="J43" s="36">
        <f t="shared" si="0"/>
        <v>17</v>
      </c>
    </row>
    <row r="44" spans="1:10" ht="50.1" customHeight="1" thickBot="1" x14ac:dyDescent="0.3">
      <c r="A44" s="20" t="s">
        <v>31</v>
      </c>
      <c r="B44" s="25" t="s">
        <v>24</v>
      </c>
      <c r="C44" s="13" t="s">
        <v>50</v>
      </c>
      <c r="D44" s="4">
        <v>10</v>
      </c>
      <c r="E44" s="8">
        <v>19</v>
      </c>
      <c r="F44" s="9"/>
      <c r="G44" s="9"/>
      <c r="H44" s="9"/>
      <c r="I44" s="9"/>
      <c r="J44" s="36">
        <f t="shared" si="0"/>
        <v>19</v>
      </c>
    </row>
    <row r="45" spans="1:10" ht="50.1" customHeight="1" thickBot="1" x14ac:dyDescent="0.3">
      <c r="A45" s="20" t="s">
        <v>31</v>
      </c>
      <c r="B45" s="25" t="s">
        <v>24</v>
      </c>
      <c r="C45" s="13" t="s">
        <v>39</v>
      </c>
      <c r="D45" s="4">
        <v>5</v>
      </c>
      <c r="E45" s="8">
        <v>16</v>
      </c>
      <c r="F45" s="9"/>
      <c r="G45" s="9"/>
      <c r="H45" s="9"/>
      <c r="I45" s="9"/>
      <c r="J45" s="36">
        <f t="shared" si="0"/>
        <v>16</v>
      </c>
    </row>
    <row r="46" spans="1:10" ht="50.1" customHeight="1" thickBot="1" x14ac:dyDescent="0.3">
      <c r="A46" s="2" t="s">
        <v>31</v>
      </c>
      <c r="B46" s="27" t="s">
        <v>24</v>
      </c>
      <c r="C46" s="13" t="s">
        <v>40</v>
      </c>
      <c r="D46" s="4">
        <v>5</v>
      </c>
      <c r="E46" s="8">
        <v>18</v>
      </c>
      <c r="F46" s="9"/>
      <c r="G46" s="9"/>
      <c r="H46" s="9"/>
      <c r="I46" s="9"/>
      <c r="J46" s="36">
        <f t="shared" si="0"/>
        <v>18</v>
      </c>
    </row>
    <row r="47" spans="1:10" ht="24.95" customHeight="1" x14ac:dyDescent="0.25"/>
    <row r="48" spans="1:10" ht="24.95" customHeight="1" x14ac:dyDescent="0.25"/>
    <row r="49" spans="2:10" ht="24.95" customHeight="1" x14ac:dyDescent="0.25">
      <c r="B49" s="21"/>
      <c r="C49" s="21"/>
      <c r="D49" s="21"/>
      <c r="E49" s="21"/>
      <c r="F49" s="21"/>
      <c r="G49" s="21"/>
      <c r="H49" s="21"/>
      <c r="I49" s="21"/>
      <c r="J49" s="38"/>
    </row>
    <row r="50" spans="2:10" ht="24.95" customHeight="1" x14ac:dyDescent="0.25"/>
    <row r="51" spans="2:10" ht="24.95" customHeight="1" x14ac:dyDescent="0.25"/>
    <row r="52" spans="2:10" ht="24.95" customHeight="1" x14ac:dyDescent="0.25"/>
    <row r="53" spans="2:10" ht="24.95" customHeight="1" x14ac:dyDescent="0.25"/>
    <row r="54" spans="2:10" ht="24.95" customHeight="1" x14ac:dyDescent="0.25"/>
    <row r="55" spans="2:10" ht="24.95" customHeight="1" x14ac:dyDescent="0.25"/>
    <row r="56" spans="2:10" ht="24.95" customHeight="1" x14ac:dyDescent="0.25"/>
    <row r="57" spans="2:10" ht="24.95" customHeight="1" x14ac:dyDescent="0.25"/>
  </sheetData>
  <conditionalFormatting sqref="M2:O4">
    <cfRule type="cellIs" dxfId="2" priority="1" operator="between">
      <formula>8</formula>
      <formula>10</formula>
    </cfRule>
    <cfRule type="cellIs" dxfId="1" priority="2" operator="lessThan">
      <formula>8</formula>
    </cfRule>
    <cfRule type="cellIs" dxfId="0" priority="4" operator="greaterThan">
      <formula>10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btnFicheacceuil">
          <controlPr defaultSize="0" autoLine="0" r:id="rId5">
            <anchor moveWithCells="1">
              <from>
                <xdr:col>11</xdr:col>
                <xdr:colOff>742950</xdr:colOff>
                <xdr:row>8</xdr:row>
                <xdr:rowOff>447675</xdr:rowOff>
              </from>
              <to>
                <xdr:col>13</xdr:col>
                <xdr:colOff>676275</xdr:colOff>
                <xdr:row>10</xdr:row>
                <xdr:rowOff>76200</xdr:rowOff>
              </to>
            </anchor>
          </controlPr>
        </control>
      </mc:Choice>
      <mc:Fallback>
        <control shapeId="6145" r:id="rId4" name="btnFicheacceui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81D68-BE41-4504-9D35-BB0DBF905189}">
  <sheetPr codeName="Feuil3"/>
  <dimension ref="F1:R8"/>
  <sheetViews>
    <sheetView zoomScale="85" zoomScaleNormal="85" workbookViewId="0">
      <selection activeCell="B44" sqref="B44"/>
    </sheetView>
  </sheetViews>
  <sheetFormatPr baseColWidth="10" defaultColWidth="11.42578125" defaultRowHeight="15" x14ac:dyDescent="0.25"/>
  <cols>
    <col min="1" max="16384" width="11.42578125" style="28"/>
  </cols>
  <sheetData>
    <row r="1" spans="6:18" x14ac:dyDescent="0.25">
      <c r="F1" s="31" t="s">
        <v>51</v>
      </c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</row>
    <row r="2" spans="6:18" x14ac:dyDescent="0.25"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</row>
    <row r="3" spans="6:18" x14ac:dyDescent="0.25"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</row>
    <row r="4" spans="6:18" x14ac:dyDescent="0.25"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</row>
    <row r="5" spans="6:18" x14ac:dyDescent="0.25"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</row>
    <row r="6" spans="6:18" x14ac:dyDescent="0.25"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</row>
    <row r="7" spans="6:18" x14ac:dyDescent="0.25"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</row>
    <row r="8" spans="6:18" x14ac:dyDescent="0.25"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</row>
  </sheetData>
  <mergeCells count="1">
    <mergeCell ref="F1:R8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7" r:id="rId4" name="btnrenitialiserabsence">
          <controlPr defaultSize="0" autoLine="0" r:id="rId5">
            <anchor moveWithCells="1">
              <from>
                <xdr:col>21</xdr:col>
                <xdr:colOff>190500</xdr:colOff>
                <xdr:row>35</xdr:row>
                <xdr:rowOff>104775</xdr:rowOff>
              </from>
              <to>
                <xdr:col>23</xdr:col>
                <xdr:colOff>733425</xdr:colOff>
                <xdr:row>37</xdr:row>
                <xdr:rowOff>85725</xdr:rowOff>
              </to>
            </anchor>
          </controlPr>
        </control>
      </mc:Choice>
      <mc:Fallback>
        <control shapeId="4107" r:id="rId4" name="btnrenitialiserabsence"/>
      </mc:Fallback>
    </mc:AlternateContent>
    <mc:AlternateContent xmlns:mc="http://schemas.openxmlformats.org/markup-compatibility/2006">
      <mc:Choice Requires="x14">
        <control shapeId="4106" r:id="rId6" name="btnNbabsence">
          <controlPr defaultSize="0" autoLine="0" r:id="rId7">
            <anchor moveWithCells="1">
              <from>
                <xdr:col>20</xdr:col>
                <xdr:colOff>409575</xdr:colOff>
                <xdr:row>29</xdr:row>
                <xdr:rowOff>28575</xdr:rowOff>
              </from>
              <to>
                <xdr:col>24</xdr:col>
                <xdr:colOff>409575</xdr:colOff>
                <xdr:row>35</xdr:row>
                <xdr:rowOff>28575</xdr:rowOff>
              </to>
            </anchor>
          </controlPr>
        </control>
      </mc:Choice>
      <mc:Fallback>
        <control shapeId="4106" r:id="rId6" name="btnNbabsence"/>
      </mc:Fallback>
    </mc:AlternateContent>
    <mc:AlternateContent xmlns:mc="http://schemas.openxmlformats.org/markup-compatibility/2006">
      <mc:Choice Requires="x14">
        <control shapeId="4105" r:id="rId8" name="btnFicheguide">
          <controlPr defaultSize="0" autoLine="0" r:id="rId9">
            <anchor moveWithCells="1">
              <from>
                <xdr:col>0</xdr:col>
                <xdr:colOff>323850</xdr:colOff>
                <xdr:row>36</xdr:row>
                <xdr:rowOff>66675</xdr:rowOff>
              </from>
              <to>
                <xdr:col>3</xdr:col>
                <xdr:colOff>323850</xdr:colOff>
                <xdr:row>40</xdr:row>
                <xdr:rowOff>133350</xdr:rowOff>
              </to>
            </anchor>
          </controlPr>
        </control>
      </mc:Choice>
      <mc:Fallback>
        <control shapeId="4105" r:id="rId8" name="btnFicheguide"/>
      </mc:Fallback>
    </mc:AlternateContent>
    <mc:AlternateContent xmlns:mc="http://schemas.openxmlformats.org/markup-compatibility/2006">
      <mc:Choice Requires="x14">
        <control shapeId="4103" r:id="rId10" name="btnFichetbd">
          <controlPr defaultSize="0" autoLine="0" r:id="rId11">
            <anchor moveWithCells="1">
              <from>
                <xdr:col>0</xdr:col>
                <xdr:colOff>314325</xdr:colOff>
                <xdr:row>28</xdr:row>
                <xdr:rowOff>19050</xdr:rowOff>
              </from>
              <to>
                <xdr:col>3</xdr:col>
                <xdr:colOff>314325</xdr:colOff>
                <xdr:row>32</xdr:row>
                <xdr:rowOff>85725</xdr:rowOff>
              </to>
            </anchor>
          </controlPr>
        </control>
      </mc:Choice>
      <mc:Fallback>
        <control shapeId="4103" r:id="rId10" name="btnFichetbd"/>
      </mc:Fallback>
    </mc:AlternateContent>
    <mc:AlternateContent xmlns:mc="http://schemas.openxmlformats.org/markup-compatibility/2006">
      <mc:Choice Requires="x14">
        <control shapeId="4102" r:id="rId12" name="btnfichenotes">
          <controlPr defaultSize="0" autoLine="0" r:id="rId13">
            <anchor moveWithCells="1">
              <from>
                <xdr:col>0</xdr:col>
                <xdr:colOff>323850</xdr:colOff>
                <xdr:row>20</xdr:row>
                <xdr:rowOff>85725</xdr:rowOff>
              </from>
              <to>
                <xdr:col>3</xdr:col>
                <xdr:colOff>323850</xdr:colOff>
                <xdr:row>24</xdr:row>
                <xdr:rowOff>152400</xdr:rowOff>
              </to>
            </anchor>
          </controlPr>
        </control>
      </mc:Choice>
      <mc:Fallback>
        <control shapeId="4102" r:id="rId12" name="btnfichenotes"/>
      </mc:Fallback>
    </mc:AlternateContent>
    <mc:AlternateContent xmlns:mc="http://schemas.openxmlformats.org/markup-compatibility/2006">
      <mc:Choice Requires="x14">
        <control shapeId="4101" r:id="rId14" name="btnDecisionJury">
          <controlPr defaultSize="0" autoLine="0" r:id="rId15">
            <anchor moveWithCells="1">
              <from>
                <xdr:col>20</xdr:col>
                <xdr:colOff>466725</xdr:colOff>
                <xdr:row>17</xdr:row>
                <xdr:rowOff>66675</xdr:rowOff>
              </from>
              <to>
                <xdr:col>24</xdr:col>
                <xdr:colOff>466725</xdr:colOff>
                <xdr:row>23</xdr:row>
                <xdr:rowOff>66675</xdr:rowOff>
              </to>
            </anchor>
          </controlPr>
        </control>
      </mc:Choice>
      <mc:Fallback>
        <control shapeId="4101" r:id="rId14" name="btnDecisionJury"/>
      </mc:Fallback>
    </mc:AlternateContent>
    <mc:AlternateContent xmlns:mc="http://schemas.openxmlformats.org/markup-compatibility/2006">
      <mc:Choice Requires="x14">
        <control shapeId="4100" r:id="rId16" name="btneffacernote">
          <controlPr defaultSize="0" autoLine="0" r:id="rId17">
            <anchor moveWithCells="1">
              <from>
                <xdr:col>6</xdr:col>
                <xdr:colOff>504825</xdr:colOff>
                <xdr:row>29</xdr:row>
                <xdr:rowOff>66675</xdr:rowOff>
              </from>
              <to>
                <xdr:col>11</xdr:col>
                <xdr:colOff>0</xdr:colOff>
                <xdr:row>37</xdr:row>
                <xdr:rowOff>66675</xdr:rowOff>
              </to>
            </anchor>
          </controlPr>
        </control>
      </mc:Choice>
      <mc:Fallback>
        <control shapeId="4100" r:id="rId16" name="btneffacernote"/>
      </mc:Fallback>
    </mc:AlternateContent>
    <mc:AlternateContent xmlns:mc="http://schemas.openxmlformats.org/markup-compatibility/2006">
      <mc:Choice Requires="x14">
        <control shapeId="4099" r:id="rId18" name="btneffacerlesnotes">
          <controlPr defaultSize="0" autoLine="0" autoPict="0" r:id="rId19">
            <anchor moveWithCells="1">
              <from>
                <xdr:col>13</xdr:col>
                <xdr:colOff>266700</xdr:colOff>
                <xdr:row>29</xdr:row>
                <xdr:rowOff>104775</xdr:rowOff>
              </from>
              <to>
                <xdr:col>17</xdr:col>
                <xdr:colOff>514350</xdr:colOff>
                <xdr:row>37</xdr:row>
                <xdr:rowOff>104775</xdr:rowOff>
              </to>
            </anchor>
          </controlPr>
        </control>
      </mc:Choice>
      <mc:Fallback>
        <control shapeId="4099" r:id="rId18" name="btneffacerlesnotes"/>
      </mc:Fallback>
    </mc:AlternateContent>
    <mc:AlternateContent xmlns:mc="http://schemas.openxmlformats.org/markup-compatibility/2006">
      <mc:Choice Requires="x14">
        <control shapeId="4097" r:id="rId20" name="btnSaisieNotes">
          <controlPr defaultSize="0" autoLine="0" r:id="rId21">
            <anchor moveWithCells="1">
              <from>
                <xdr:col>10</xdr:col>
                <xdr:colOff>0</xdr:colOff>
                <xdr:row>14</xdr:row>
                <xdr:rowOff>123825</xdr:rowOff>
              </from>
              <to>
                <xdr:col>14</xdr:col>
                <xdr:colOff>257175</xdr:colOff>
                <xdr:row>22</xdr:row>
                <xdr:rowOff>123825</xdr:rowOff>
              </to>
            </anchor>
          </controlPr>
        </control>
      </mc:Choice>
      <mc:Fallback>
        <control shapeId="4097" r:id="rId20" name="btnSaisieNote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3A90B-AB88-4665-852C-AB74D96A1853}">
  <sheetPr codeName="Feuil2"/>
  <dimension ref="A1:R35"/>
  <sheetViews>
    <sheetView workbookViewId="0">
      <selection activeCell="Q17" sqref="Q17"/>
    </sheetView>
  </sheetViews>
  <sheetFormatPr baseColWidth="10" defaultColWidth="11.42578125" defaultRowHeight="15" x14ac:dyDescent="0.25"/>
  <cols>
    <col min="1" max="1" width="11.42578125" style="29"/>
    <col min="2" max="2" width="11.85546875" style="29" customWidth="1"/>
    <col min="3" max="16384" width="11.42578125" style="29"/>
  </cols>
  <sheetData>
    <row r="1" spans="7:18" x14ac:dyDescent="0.25">
      <c r="G1" s="33" t="s">
        <v>52</v>
      </c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</row>
    <row r="2" spans="7:18" x14ac:dyDescent="0.25"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</row>
    <row r="3" spans="7:18" x14ac:dyDescent="0.25"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</row>
    <row r="4" spans="7:18" x14ac:dyDescent="0.25"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</row>
    <row r="5" spans="7:18" x14ac:dyDescent="0.25"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</row>
    <row r="6" spans="7:18" x14ac:dyDescent="0.25"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</row>
    <row r="29" spans="1:16" x14ac:dyDescent="0.25">
      <c r="I29" s="58"/>
      <c r="J29" s="58"/>
      <c r="K29" s="58"/>
      <c r="L29" s="58"/>
      <c r="M29" s="58"/>
      <c r="N29" s="58"/>
      <c r="O29" s="58"/>
      <c r="P29" s="58"/>
    </row>
    <row r="30" spans="1:16" ht="16.5" thickBot="1" x14ac:dyDescent="0.3">
      <c r="A30" s="53" t="s">
        <v>56</v>
      </c>
      <c r="B30" s="39"/>
      <c r="D30" s="53" t="s">
        <v>55</v>
      </c>
      <c r="E30" s="40"/>
      <c r="I30" s="58"/>
      <c r="J30" s="58"/>
      <c r="K30" s="58"/>
      <c r="L30" s="58"/>
      <c r="M30" s="58"/>
      <c r="N30" s="58"/>
      <c r="O30" s="58"/>
      <c r="P30" s="58"/>
    </row>
    <row r="31" spans="1:16" ht="15" customHeight="1" x14ac:dyDescent="0.25">
      <c r="A31" s="47">
        <v>3</v>
      </c>
      <c r="B31" s="48"/>
      <c r="D31" s="41">
        <f>COUNTIF(Notes!E2:I46,"ABI")</f>
        <v>1</v>
      </c>
      <c r="E31" s="42"/>
      <c r="J31" s="58"/>
      <c r="K31" s="58"/>
      <c r="L31" s="58"/>
      <c r="M31" s="58"/>
      <c r="N31" s="58"/>
      <c r="O31" s="58"/>
      <c r="P31" s="58"/>
    </row>
    <row r="32" spans="1:16" ht="15" customHeight="1" x14ac:dyDescent="0.25">
      <c r="A32" s="49"/>
      <c r="B32" s="50"/>
      <c r="D32" s="43"/>
      <c r="E32" s="44"/>
      <c r="J32" s="58"/>
      <c r="K32" s="58"/>
      <c r="L32" s="58"/>
      <c r="M32" s="58"/>
      <c r="N32" s="58"/>
      <c r="O32" s="58"/>
      <c r="P32" s="58"/>
    </row>
    <row r="33" spans="1:16" ht="15" customHeight="1" x14ac:dyDescent="0.25">
      <c r="A33" s="49"/>
      <c r="B33" s="50"/>
      <c r="D33" s="43"/>
      <c r="E33" s="44"/>
      <c r="J33" s="58"/>
      <c r="K33" s="58"/>
      <c r="L33" s="58"/>
      <c r="M33" s="58"/>
      <c r="N33" s="58"/>
      <c r="O33" s="58"/>
      <c r="P33" s="58"/>
    </row>
    <row r="34" spans="1:16" ht="15" customHeight="1" x14ac:dyDescent="0.25">
      <c r="A34" s="49"/>
      <c r="B34" s="50"/>
      <c r="D34" s="43"/>
      <c r="E34" s="44"/>
      <c r="J34" s="58"/>
      <c r="K34" s="58"/>
      <c r="L34" s="58"/>
      <c r="M34" s="58"/>
      <c r="N34" s="58"/>
      <c r="O34" s="58"/>
      <c r="P34" s="58"/>
    </row>
    <row r="35" spans="1:16" ht="15.75" customHeight="1" thickBot="1" x14ac:dyDescent="0.3">
      <c r="A35" s="51"/>
      <c r="B35" s="52"/>
      <c r="D35" s="45"/>
      <c r="E35" s="46"/>
      <c r="J35" s="58"/>
      <c r="K35" s="58"/>
      <c r="L35" s="58"/>
      <c r="M35" s="58"/>
      <c r="N35" s="58"/>
      <c r="O35" s="58"/>
      <c r="P35" s="58"/>
    </row>
  </sheetData>
  <mergeCells count="5">
    <mergeCell ref="G1:R6"/>
    <mergeCell ref="A31:B35"/>
    <mergeCell ref="A30:B30"/>
    <mergeCell ref="D31:E35"/>
    <mergeCell ref="D30:E30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5122" r:id="rId4" name="btnFicheaccueil2">
          <controlPr defaultSize="0" autoLine="0" r:id="rId5">
            <anchor moveWithCells="1">
              <from>
                <xdr:col>0</xdr:col>
                <xdr:colOff>371475</xdr:colOff>
                <xdr:row>1</xdr:row>
                <xdr:rowOff>104775</xdr:rowOff>
              </from>
              <to>
                <xdr:col>2</xdr:col>
                <xdr:colOff>638175</xdr:colOff>
                <xdr:row>4</xdr:row>
                <xdr:rowOff>133350</xdr:rowOff>
              </to>
            </anchor>
          </controlPr>
        </control>
      </mc:Choice>
      <mc:Fallback>
        <control shapeId="5122" r:id="rId4" name="btnFicheaccueil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F4DD9-2BB9-4AAA-AA9E-D0F39B31B021}">
  <sheetPr codeName="Feuil1"/>
  <dimension ref="A2:O31"/>
  <sheetViews>
    <sheetView workbookViewId="0">
      <selection activeCell="T17" sqref="T17"/>
    </sheetView>
  </sheetViews>
  <sheetFormatPr baseColWidth="10" defaultColWidth="11.42578125" defaultRowHeight="15" x14ac:dyDescent="0.25"/>
  <cols>
    <col min="1" max="5" width="11.42578125" style="29"/>
    <col min="6" max="6" width="10.5703125" style="29" customWidth="1"/>
    <col min="7" max="7" width="2.7109375" style="29" customWidth="1"/>
    <col min="8" max="14" width="11.42578125" style="29"/>
    <col min="15" max="15" width="41.7109375" style="29" customWidth="1"/>
    <col min="16" max="16384" width="11.42578125" style="29"/>
  </cols>
  <sheetData>
    <row r="2" spans="1:15" x14ac:dyDescent="0.25">
      <c r="A2" s="30"/>
      <c r="H2" s="54" t="s">
        <v>57</v>
      </c>
      <c r="I2" s="40"/>
      <c r="J2" s="40"/>
      <c r="K2" s="40"/>
      <c r="L2" s="40"/>
      <c r="M2" s="40"/>
      <c r="N2" s="40"/>
      <c r="O2" s="40"/>
    </row>
    <row r="3" spans="1:15" x14ac:dyDescent="0.25">
      <c r="H3" s="40"/>
      <c r="I3" s="40"/>
      <c r="J3" s="40"/>
      <c r="K3" s="40"/>
      <c r="L3" s="40"/>
      <c r="M3" s="40"/>
      <c r="N3" s="40"/>
      <c r="O3" s="40"/>
    </row>
    <row r="4" spans="1:15" x14ac:dyDescent="0.25">
      <c r="H4" s="40"/>
      <c r="I4" s="40"/>
      <c r="J4" s="40"/>
      <c r="K4" s="40"/>
      <c r="L4" s="40"/>
      <c r="M4" s="40"/>
      <c r="N4" s="40"/>
      <c r="O4" s="40"/>
    </row>
    <row r="5" spans="1:15" x14ac:dyDescent="0.25">
      <c r="H5" s="40"/>
      <c r="I5" s="40"/>
      <c r="J5" s="40"/>
      <c r="K5" s="40"/>
      <c r="L5" s="40"/>
      <c r="M5" s="40"/>
      <c r="N5" s="40"/>
      <c r="O5" s="40"/>
    </row>
    <row r="6" spans="1:15" x14ac:dyDescent="0.25">
      <c r="H6" s="40"/>
      <c r="I6" s="40"/>
      <c r="J6" s="40"/>
      <c r="K6" s="40"/>
      <c r="L6" s="40"/>
      <c r="M6" s="40"/>
      <c r="N6" s="40"/>
      <c r="O6" s="40"/>
    </row>
    <row r="7" spans="1:15" x14ac:dyDescent="0.25">
      <c r="H7" s="40"/>
      <c r="I7" s="40"/>
      <c r="J7" s="40"/>
      <c r="K7" s="40"/>
      <c r="L7" s="40"/>
      <c r="M7" s="40"/>
      <c r="N7" s="40"/>
      <c r="O7" s="40"/>
    </row>
    <row r="8" spans="1:15" x14ac:dyDescent="0.25">
      <c r="H8" s="40"/>
      <c r="I8" s="40"/>
      <c r="J8" s="40"/>
      <c r="K8" s="40"/>
      <c r="L8" s="40"/>
      <c r="M8" s="40"/>
      <c r="N8" s="40"/>
      <c r="O8" s="40"/>
    </row>
    <row r="31" spans="1:2" x14ac:dyDescent="0.25">
      <c r="A31" s="29">
        <v>4</v>
      </c>
      <c r="B31" s="29">
        <v>3</v>
      </c>
    </row>
  </sheetData>
  <mergeCells count="1">
    <mergeCell ref="H2:O8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shapeId="7173" r:id="rId4">
          <objectPr defaultSize="0" autoPict="0" r:id="rId5">
            <anchor moveWithCells="1">
              <from>
                <xdr:col>7</xdr:col>
                <xdr:colOff>733425</xdr:colOff>
                <xdr:row>15</xdr:row>
                <xdr:rowOff>104775</xdr:rowOff>
              </from>
              <to>
                <xdr:col>14</xdr:col>
                <xdr:colOff>1857375</xdr:colOff>
                <xdr:row>29</xdr:row>
                <xdr:rowOff>28575</xdr:rowOff>
              </to>
            </anchor>
          </objectPr>
        </oleObject>
      </mc:Choice>
      <mc:Fallback>
        <oleObject shapeId="7173" r:id="rId4"/>
      </mc:Fallback>
    </mc:AlternateContent>
  </oleObjects>
  <controls>
    <mc:AlternateContent xmlns:mc="http://schemas.openxmlformats.org/markup-compatibility/2006">
      <mc:Choice Requires="x14">
        <control shapeId="7169" r:id="rId6" name="btnFicheaccueil3">
          <controlPr defaultSize="0" autoLine="0" r:id="rId7">
            <anchor moveWithCells="1">
              <from>
                <xdr:col>0</xdr:col>
                <xdr:colOff>428625</xdr:colOff>
                <xdr:row>3</xdr:row>
                <xdr:rowOff>123825</xdr:rowOff>
              </from>
              <to>
                <xdr:col>2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7169" r:id="rId6" name="btnFicheaccueil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Notes</vt:lpstr>
      <vt:lpstr>Utilisateur</vt:lpstr>
      <vt:lpstr>Tableau de bord</vt:lpstr>
      <vt:lpstr>Guide d'Utilisation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COMBES PEIRACHE MAEL</dc:creator>
  <cp:keywords/>
  <dc:description/>
  <cp:lastModifiedBy>Mael Combes Peirache</cp:lastModifiedBy>
  <cp:revision/>
  <dcterms:created xsi:type="dcterms:W3CDTF">2025-12-11T09:09:13Z</dcterms:created>
  <dcterms:modified xsi:type="dcterms:W3CDTF">2025-12-21T22:48:52Z</dcterms:modified>
  <cp:category/>
  <cp:contentStatus/>
</cp:coreProperties>
</file>